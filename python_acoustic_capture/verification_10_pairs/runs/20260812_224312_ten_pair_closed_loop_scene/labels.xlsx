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标签" sheetId="1" r:id="rId1"/>
    <sheet name="采集参数" sheetId="2" r:id="rId2"/>
    <sheet name="实验条件" sheetId="3" r:id="rId3"/>
    <sheet name="监督配对" sheetId="4" r:id="rId4"/>
    <sheet name="文件索引" sheetId="5" r:id="rId5"/>
    <sheet name="汇总" sheetId="6" r:id="rId6"/>
    <sheet name="字段说明" sheetId="7" r:id="rId7"/>
  </sheets>
  <definedNames>
    <definedName name="_xlnm._FilterDatabase" localSheetId="2" hidden="1">实验条件!$A$1:$AJ$11</definedName>
    <definedName name="_xlnm._FilterDatabase" localSheetId="4" hidden="1">文件索引!$A$1:$O$11</definedName>
    <definedName name="_xlnm._FilterDatabase" localSheetId="0" hidden="1">标签!$A$1:$S$11</definedName>
    <definedName name="_xlnm._FilterDatabase" localSheetId="3" hidden="1">监督配对!$A$1:$W$11</definedName>
    <definedName name="_xlnm._FilterDatabase" localSheetId="1" hidden="1">采集参数!$A$1:$H$11</definedName>
  </definedNames>
  <calcPr calcId="124519" fullCalcOnLoad="1"/>
</workbook>
</file>

<file path=xl/sharedStrings.xml><?xml version="1.0" encoding="utf-8"?>
<sst xmlns="http://schemas.openxmlformats.org/spreadsheetml/2006/main" count="973" uniqueCount="419">
  <si>
    <t>运行目录编号</t>
  </si>
  <si>
    <t>样本编号</t>
  </si>
  <si>
    <t>监督配对编号</t>
  </si>
  <si>
    <t>数据类型</t>
  </si>
  <si>
    <t>物理场景编号</t>
  </si>
  <si>
    <t>人工标签</t>
  </si>
  <si>
    <t>自动标签</t>
  </si>
  <si>
    <t>数据集划分</t>
  </si>
  <si>
    <t>是否有效</t>
  </si>
  <si>
    <t>质量标记</t>
  </si>
  <si>
    <t>自动质量门限是否通过</t>
  </si>
  <si>
    <t>混合可加性最大残差（dB）</t>
  </si>
  <si>
    <t>混合可加性最低相关系数</t>
  </si>
  <si>
    <t>监督训练可用</t>
  </si>
  <si>
    <t>输入输出共享硬件时钟</t>
  </si>
  <si>
    <t>目标与混合样本对齐</t>
  </si>
  <si>
    <t>重复编号</t>
  </si>
  <si>
    <t>时长（秒）</t>
  </si>
  <si>
    <t>备注</t>
  </si>
  <si>
    <t>20260812_224312_ten_pair_closed_loop_scene</t>
  </si>
  <si>
    <t>simulated_closed_loop_10_pairs__verify10_0001_target_01_interferer_01_rep001</t>
  </si>
  <si>
    <t>supervised_pair</t>
  </si>
  <si>
    <t>simulated_closed_loop_10_pairs</t>
  </si>
  <si>
    <t>verify10_0001_target_01_interferer_01</t>
  </si>
  <si>
    <t>train</t>
  </si>
  <si>
    <t>是</t>
  </si>
  <si>
    <t>通过</t>
  </si>
  <si>
    <t>未启用</t>
  </si>
  <si>
    <t>simulated_closed_loop_10_pairs__verify10_0002_target_02_interferer_02_rep001</t>
  </si>
  <si>
    <t>verify10_0002_target_02_interferer_02</t>
  </si>
  <si>
    <t>simulated_closed_loop_10_pairs__verify10_0003_target_03_interferer_03_rep001</t>
  </si>
  <si>
    <t>verify10_0003_target_03_interferer_03</t>
  </si>
  <si>
    <t>simulated_closed_loop_10_pairs__verify10_0004_target_04_interferer_04_rep001</t>
  </si>
  <si>
    <t>verify10_0004_target_04_interferer_04</t>
  </si>
  <si>
    <t>simulated_closed_loop_10_pairs__verify10_0005_target_05_interferer_05_rep001</t>
  </si>
  <si>
    <t>verify10_0005_target_05_interferer_05</t>
  </si>
  <si>
    <t>simulated_closed_loop_10_pairs__verify10_0006_target_06_interferer_06_rep001</t>
  </si>
  <si>
    <t>verify10_0006_target_06_interferer_06</t>
  </si>
  <si>
    <t>simulated_closed_loop_10_pairs__verify10_0007_target_07_interferer_07_rep001</t>
  </si>
  <si>
    <t>verify10_0007_target_07_interferer_07</t>
  </si>
  <si>
    <t>simulated_closed_loop_10_pairs__verify10_0008_target_08_interferer_08_rep001</t>
  </si>
  <si>
    <t>verify10_0008_target_08_interferer_08</t>
  </si>
  <si>
    <t>simulated_closed_loop_10_pairs__verify10_0009_target_09_interferer_09_rep001</t>
  </si>
  <si>
    <t>verify10_0009_target_09_interferer_09</t>
  </si>
  <si>
    <t>simulated_closed_loop_10_pairs__verify10_0010_target_10_interferer_10_rep001</t>
  </si>
  <si>
    <t>verify10_0010_target_10_interferer_10</t>
  </si>
  <si>
    <t>采集策略</t>
  </si>
  <si>
    <t>采样率（赫兹）</t>
  </si>
  <si>
    <t>麦克风通道</t>
  </si>
  <si>
    <t>目标输出通道</t>
  </si>
  <si>
    <t>干扰输出通道</t>
  </si>
  <si>
    <t>目标电平（dBFS）</t>
  </si>
  <si>
    <t>干扰电平（dBFS）</t>
  </si>
  <si>
    <t>single_stream_paired_sequence</t>
  </si>
  <si>
    <t>1,2</t>
  </si>
  <si>
    <t>项目编号</t>
  </si>
  <si>
    <t>实验编号</t>
  </si>
  <si>
    <t>房间编号</t>
  </si>
  <si>
    <t>人工头编号</t>
  </si>
  <si>
    <t>耳机型号</t>
  </si>
  <si>
    <t>耳机个体</t>
  </si>
  <si>
    <t>佩戴编号</t>
  </si>
  <si>
    <t>麦杆姿态编号</t>
  </si>
  <si>
    <t>麦克风映射</t>
  </si>
  <si>
    <t>采集级别</t>
  </si>
  <si>
    <t>训练任务</t>
  </si>
  <si>
    <t>阵列编号</t>
  </si>
  <si>
    <t>阵列坐标系</t>
  </si>
  <si>
    <t>阵列参考点</t>
  </si>
  <si>
    <t>阵列参考通道</t>
  </si>
  <si>
    <t>阵列几何 SHA256</t>
  </si>
  <si>
    <t>阵列几何</t>
  </si>
  <si>
    <t>物理采集分组</t>
  </si>
  <si>
    <t>数据划分分组</t>
  </si>
  <si>
    <t>说话人编号</t>
  </si>
  <si>
    <t>语句编号</t>
  </si>
  <si>
    <t>干扰素材编号</t>
  </si>
  <si>
    <t>干扰类别</t>
  </si>
  <si>
    <t>目标声源编号</t>
  </si>
  <si>
    <t>目标位置编号</t>
  </si>
  <si>
    <t>目标方位角（度）</t>
  </si>
  <si>
    <t>目标俯仰角（度）</t>
  </si>
  <si>
    <t>目标高度（米）</t>
  </si>
  <si>
    <t>目标距离（米）</t>
  </si>
  <si>
    <t>干扰声源编号</t>
  </si>
  <si>
    <t>干扰位置编号</t>
  </si>
  <si>
    <t>干扰方位角（度）</t>
  </si>
  <si>
    <t>干扰俯仰角（度）</t>
  </si>
  <si>
    <t>干扰高度（米）</t>
  </si>
  <si>
    <t>干扰距离（米）</t>
  </si>
  <si>
    <t>verify_ten_supervised_pairs</t>
  </si>
  <si>
    <t>simulator</t>
  </si>
  <si>
    <t>simulator_headset</t>
  </si>
  <si>
    <t>fixed</t>
  </si>
  <si>
    <t>{}</t>
  </si>
  <si>
    <t>standard</t>
  </si>
  <si>
    <t>|simulator|simulator_headset|fixed|fixed</t>
  </si>
  <si>
    <t>simulated_mouth</t>
  </si>
  <si>
    <t>front</t>
  </si>
  <si>
    <t>simulated_interferer</t>
  </si>
  <si>
    <t>right</t>
  </si>
  <si>
    <t>是否启用自动质量门限</t>
  </si>
  <si>
    <t>监督质量指标文件</t>
  </si>
  <si>
    <t>混合录音</t>
  </si>
  <si>
    <t>仅目标录音</t>
  </si>
  <si>
    <t>仅干扰录音</t>
  </si>
  <si>
    <t>目标源 SHA256</t>
  </si>
  <si>
    <t>干扰源 SHA256</t>
  </si>
  <si>
    <t>配对序列完整录音</t>
  </si>
  <si>
    <t>片段边界文件</t>
  </si>
  <si>
    <t>否</t>
  </si>
  <si>
    <t>raw/sample_0001_rep_001_mixture_mics.wav</t>
  </si>
  <si>
    <t>raw/sample_0001_rep_001_target_only_mics.wav</t>
  </si>
  <si>
    <t>5e32bc39d285fa14a0927cce2e9602a3cad999ad02e6ed9f4a018acb5172f43f</t>
  </si>
  <si>
    <t>17ad838dd45af9e01d1ac429ae8af8d1d34d805cf401a4f75a07fd7705fbe1e8</t>
  </si>
  <si>
    <t>raw/sample_0001_rep_001_paired_sequence_mics.wav</t>
  </si>
  <si>
    <t>metrics/sample_0001_rep_001_paired_sequence_layout.json</t>
  </si>
  <si>
    <t>raw/sample_0002_rep_001_mixture_mics.wav</t>
  </si>
  <si>
    <t>raw/sample_0002_rep_001_target_only_mics.wav</t>
  </si>
  <si>
    <t>5a722ab0f91f85b638f37ec052a315eb09618132d7ce021dc4f42cc73b98cd79</t>
  </si>
  <si>
    <t>c94e36f2ba8313ac94e832f5048fb8eab7ed294aa2e6fd996b14b186e168e628</t>
  </si>
  <si>
    <t>raw/sample_0002_rep_001_paired_sequence_mics.wav</t>
  </si>
  <si>
    <t>metrics/sample_0002_rep_001_paired_sequence_layout.json</t>
  </si>
  <si>
    <t>raw/sample_0003_rep_001_mixture_mics.wav</t>
  </si>
  <si>
    <t>raw/sample_0003_rep_001_target_only_mics.wav</t>
  </si>
  <si>
    <t>a37f11d873a05efbd7411cba0200afd9ceb66ddea20a7ee17affa2e9e3f14eef</t>
  </si>
  <si>
    <t>4f1af2598325d976d10ca666c2cb303c80389ae32a1bab1cd4d6bc92cd49a537</t>
  </si>
  <si>
    <t>raw/sample_0003_rep_001_paired_sequence_mics.wav</t>
  </si>
  <si>
    <t>metrics/sample_0003_rep_001_paired_sequence_layout.json</t>
  </si>
  <si>
    <t>raw/sample_0004_rep_001_mixture_mics.wav</t>
  </si>
  <si>
    <t>raw/sample_0004_rep_001_target_only_mics.wav</t>
  </si>
  <si>
    <t>871df0a418ba3ccfaa77988e44a4262aa07be61403a3915859342227c5bbce83</t>
  </si>
  <si>
    <t>9151be4645971ddb5ab6797f13c51225ee4bf4429e8fa99c9ebcedde7c795dd6</t>
  </si>
  <si>
    <t>raw/sample_0004_rep_001_paired_sequence_mics.wav</t>
  </si>
  <si>
    <t>metrics/sample_0004_rep_001_paired_sequence_layout.json</t>
  </si>
  <si>
    <t>raw/sample_0005_rep_001_mixture_mics.wav</t>
  </si>
  <si>
    <t>raw/sample_0005_rep_001_target_only_mics.wav</t>
  </si>
  <si>
    <t>8f7e121d33927e30832f422bfdf54ba8ef47b3b9b90868808fa472f61d729734</t>
  </si>
  <si>
    <t>0ede1e4b61213f1e454e0037d495e520c6ababea9dff8f2fbb3a4255fd771d3b</t>
  </si>
  <si>
    <t>raw/sample_0005_rep_001_paired_sequence_mics.wav</t>
  </si>
  <si>
    <t>metrics/sample_0005_rep_001_paired_sequence_layout.json</t>
  </si>
  <si>
    <t>raw/sample_0006_rep_001_mixture_mics.wav</t>
  </si>
  <si>
    <t>raw/sample_0006_rep_001_target_only_mics.wav</t>
  </si>
  <si>
    <t>4922c4fcf08ef3944ef886326ac7cfc690b0095aef4645e0138b47bfb071a769</t>
  </si>
  <si>
    <t>a360e85be6ceea8808483920495f02cf77dfc70fa743f48347ced3a957d1fb49</t>
  </si>
  <si>
    <t>raw/sample_0006_rep_001_paired_sequence_mics.wav</t>
  </si>
  <si>
    <t>metrics/sample_0006_rep_001_paired_sequence_layout.json</t>
  </si>
  <si>
    <t>raw/sample_0007_rep_001_mixture_mics.wav</t>
  </si>
  <si>
    <t>raw/sample_0007_rep_001_target_only_mics.wav</t>
  </si>
  <si>
    <t>5a86fd572408bc0736e7b88eb290699d569780709963d8f23d31fa50a9d5a5c7</t>
  </si>
  <si>
    <t>500f6136a981006757916c187f6c75bdeff6e66e27aad291c515ba0939bb96f1</t>
  </si>
  <si>
    <t>raw/sample_0007_rep_001_paired_sequence_mics.wav</t>
  </si>
  <si>
    <t>metrics/sample_0007_rep_001_paired_sequence_layout.json</t>
  </si>
  <si>
    <t>raw/sample_0008_rep_001_mixture_mics.wav</t>
  </si>
  <si>
    <t>raw/sample_0008_rep_001_target_only_mics.wav</t>
  </si>
  <si>
    <t>e8b4d3a97ca6ec387dda61e8be17d798217c51d963f14d0410d090d7d05ac11e</t>
  </si>
  <si>
    <t>76bf51e624a186b2e4770cadff6e6a9465d39f8fc4439a1758f8295f2a8555c0</t>
  </si>
  <si>
    <t>raw/sample_0008_rep_001_paired_sequence_mics.wav</t>
  </si>
  <si>
    <t>metrics/sample_0008_rep_001_paired_sequence_layout.json</t>
  </si>
  <si>
    <t>raw/sample_0009_rep_001_mixture_mics.wav</t>
  </si>
  <si>
    <t>raw/sample_0009_rep_001_target_only_mics.wav</t>
  </si>
  <si>
    <t>c02c79ffb0e2d95d492b1c041dfcb3d9e3bcbabe8c866ef6ea2aff4bdb5b4e4a</t>
  </si>
  <si>
    <t>f483a9521c017c4a0f9220edcc29bd11f8c83667957dfd95351eef2125d2534c</t>
  </si>
  <si>
    <t>raw/sample_0009_rep_001_paired_sequence_mics.wav</t>
  </si>
  <si>
    <t>metrics/sample_0009_rep_001_paired_sequence_layout.json</t>
  </si>
  <si>
    <t>raw/sample_0010_rep_001_mixture_mics.wav</t>
  </si>
  <si>
    <t>raw/sample_0010_rep_001_target_only_mics.wav</t>
  </si>
  <si>
    <t>6fc3919e93292c6c650dda3f6df7f21bb5c1ba393a15945f157e87e6383e640e</t>
  </si>
  <si>
    <t>72de4e4d2d9c956dbcbd2e6dccb420a156e2461b0125d762f073b85c9e2f514a</t>
  </si>
  <si>
    <t>raw/sample_0010_rep_001_paired_sequence_mics.wav</t>
  </si>
  <si>
    <t>metrics/sample_0010_rep_001_paired_sequence_layout.json</t>
  </si>
  <si>
    <t>目标源文件</t>
  </si>
  <si>
    <t>干扰源文件</t>
  </si>
  <si>
    <t>环境底噪录音</t>
  </si>
  <si>
    <t>目标播放参考</t>
  </si>
  <si>
    <t>干扰播放参考</t>
  </si>
  <si>
    <t>混合播放参考</t>
  </si>
  <si>
    <t>配对序列完整播放</t>
  </si>
  <si>
    <t>指标文件</t>
  </si>
  <si>
    <t>实验元数据</t>
  </si>
  <si>
    <t>E:\Code_Github\Tools-main\Tools-main\python_acoustic_capture\verification_10_pairs\sources\target\target_01.wav</t>
  </si>
  <si>
    <t>E:\Code_Github\Tools-main\Tools-main\python_acoustic_capture\verification_10_pairs\sources\interferer\interferer_01.wav</t>
  </si>
  <si>
    <t>references/sample_0001_rep_001_target_only_playback.wav</t>
  </si>
  <si>
    <t>references/sample_0001_rep_001_mixture_playback.wav</t>
  </si>
  <si>
    <t>references/sample_0001_rep_001_paired_sequence_playback.wav</t>
  </si>
  <si>
    <t>{"target_only":"metrics/sample_0001_rep_001_target_only.json","mixture":"metrics/sample_0001_rep_001_mixture.json"}</t>
  </si>
  <si>
    <t>{"project_id":"verify_ten_supervised_pairs","scene_id":"simulated_closed_loop_10_pairs","experiment_id":"simulated_closed_loop_10_pairs","artificial_head_id":"simulator","headset_unit_id":"simulator_headset","wearing_id":"fixed","boom_pose_id":"fixed","target":{"source_id":"simulated_mouth","position_id":"front"},"interferer":{"source_id":"simulated_interferer","position_id":"right"}}</t>
  </si>
  <si>
    <t>E:\Code_Github\Tools-main\Tools-main\python_acoustic_capture\verification_10_pairs\sources\target\target_02.wav</t>
  </si>
  <si>
    <t>E:\Code_Github\Tools-main\Tools-main\python_acoustic_capture\verification_10_pairs\sources\interferer\interferer_02.wav</t>
  </si>
  <si>
    <t>references/sample_0002_rep_001_target_only_playback.wav</t>
  </si>
  <si>
    <t>references/sample_0002_rep_001_mixture_playback.wav</t>
  </si>
  <si>
    <t>references/sample_0002_rep_001_paired_sequence_playback.wav</t>
  </si>
  <si>
    <t>{"target_only":"metrics/sample_0002_rep_001_target_only.json","mixture":"metrics/sample_0002_rep_001_mixture.json"}</t>
  </si>
  <si>
    <t>E:\Code_Github\Tools-main\Tools-main\python_acoustic_capture\verification_10_pairs\sources\target\target_03.wav</t>
  </si>
  <si>
    <t>E:\Code_Github\Tools-main\Tools-main\python_acoustic_capture\verification_10_pairs\sources\interferer\interferer_03.wav</t>
  </si>
  <si>
    <t>references/sample_0003_rep_001_target_only_playback.wav</t>
  </si>
  <si>
    <t>references/sample_0003_rep_001_mixture_playback.wav</t>
  </si>
  <si>
    <t>references/sample_0003_rep_001_paired_sequence_playback.wav</t>
  </si>
  <si>
    <t>{"target_only":"metrics/sample_0003_rep_001_target_only.json","mixture":"metrics/sample_0003_rep_001_mixture.json"}</t>
  </si>
  <si>
    <t>E:\Code_Github\Tools-main\Tools-main\python_acoustic_capture\verification_10_pairs\sources\target\target_04.wav</t>
  </si>
  <si>
    <t>E:\Code_Github\Tools-main\Tools-main\python_acoustic_capture\verification_10_pairs\sources\interferer\interferer_04.wav</t>
  </si>
  <si>
    <t>references/sample_0004_rep_001_target_only_playback.wav</t>
  </si>
  <si>
    <t>references/sample_0004_rep_001_mixture_playback.wav</t>
  </si>
  <si>
    <t>references/sample_0004_rep_001_paired_sequence_playback.wav</t>
  </si>
  <si>
    <t>{"target_only":"metrics/sample_0004_rep_001_target_only.json","mixture":"metrics/sample_0004_rep_001_mixture.json"}</t>
  </si>
  <si>
    <t>E:\Code_Github\Tools-main\Tools-main\python_acoustic_capture\verification_10_pairs\sources\target\target_05.wav</t>
  </si>
  <si>
    <t>E:\Code_Github\Tools-main\Tools-main\python_acoustic_capture\verification_10_pairs\sources\interferer\interferer_05.wav</t>
  </si>
  <si>
    <t>references/sample_0005_rep_001_target_only_playback.wav</t>
  </si>
  <si>
    <t>references/sample_0005_rep_001_mixture_playback.wav</t>
  </si>
  <si>
    <t>references/sample_0005_rep_001_paired_sequence_playback.wav</t>
  </si>
  <si>
    <t>{"target_only":"metrics/sample_0005_rep_001_target_only.json","mixture":"metrics/sample_0005_rep_001_mixture.json"}</t>
  </si>
  <si>
    <t>E:\Code_Github\Tools-main\Tools-main\python_acoustic_capture\verification_10_pairs\sources\target\target_06.wav</t>
  </si>
  <si>
    <t>E:\Code_Github\Tools-main\Tools-main\python_acoustic_capture\verification_10_pairs\sources\interferer\interferer_06.wav</t>
  </si>
  <si>
    <t>references/sample_0006_rep_001_target_only_playback.wav</t>
  </si>
  <si>
    <t>references/sample_0006_rep_001_mixture_playback.wav</t>
  </si>
  <si>
    <t>references/sample_0006_rep_001_paired_sequence_playback.wav</t>
  </si>
  <si>
    <t>{"target_only":"metrics/sample_0006_rep_001_target_only.json","mixture":"metrics/sample_0006_rep_001_mixture.json"}</t>
  </si>
  <si>
    <t>E:\Code_Github\Tools-main\Tools-main\python_acoustic_capture\verification_10_pairs\sources\target\target_07.wav</t>
  </si>
  <si>
    <t>E:\Code_Github\Tools-main\Tools-main\python_acoustic_capture\verification_10_pairs\sources\interferer\interferer_07.wav</t>
  </si>
  <si>
    <t>references/sample_0007_rep_001_target_only_playback.wav</t>
  </si>
  <si>
    <t>references/sample_0007_rep_001_mixture_playback.wav</t>
  </si>
  <si>
    <t>references/sample_0007_rep_001_paired_sequence_playback.wav</t>
  </si>
  <si>
    <t>{"target_only":"metrics/sample_0007_rep_001_target_only.json","mixture":"metrics/sample_0007_rep_001_mixture.json"}</t>
  </si>
  <si>
    <t>E:\Code_Github\Tools-main\Tools-main\python_acoustic_capture\verification_10_pairs\sources\target\target_08.wav</t>
  </si>
  <si>
    <t>E:\Code_Github\Tools-main\Tools-main\python_acoustic_capture\verification_10_pairs\sources\interferer\interferer_08.wav</t>
  </si>
  <si>
    <t>references/sample_0008_rep_001_target_only_playback.wav</t>
  </si>
  <si>
    <t>references/sample_0008_rep_001_mixture_playback.wav</t>
  </si>
  <si>
    <t>references/sample_0008_rep_001_paired_sequence_playback.wav</t>
  </si>
  <si>
    <t>{"target_only":"metrics/sample_0008_rep_001_target_only.json","mixture":"metrics/sample_0008_rep_001_mixture.json"}</t>
  </si>
  <si>
    <t>E:\Code_Github\Tools-main\Tools-main\python_acoustic_capture\verification_10_pairs\sources\target\target_09.wav</t>
  </si>
  <si>
    <t>E:\Code_Github\Tools-main\Tools-main\python_acoustic_capture\verification_10_pairs\sources\interferer\interferer_09.wav</t>
  </si>
  <si>
    <t>references/sample_0009_rep_001_target_only_playback.wav</t>
  </si>
  <si>
    <t>references/sample_0009_rep_001_mixture_playback.wav</t>
  </si>
  <si>
    <t>references/sample_0009_rep_001_paired_sequence_playback.wav</t>
  </si>
  <si>
    <t>{"target_only":"metrics/sample_0009_rep_001_target_only.json","mixture":"metrics/sample_0009_rep_001_mixture.json"}</t>
  </si>
  <si>
    <t>E:\Code_Github\Tools-main\Tools-main\python_acoustic_capture\verification_10_pairs\sources\target\target_10.wav</t>
  </si>
  <si>
    <t>E:\Code_Github\Tools-main\Tools-main\python_acoustic_capture\verification_10_pairs\sources\interferer\interferer_10.wav</t>
  </si>
  <si>
    <t>references/sample_0010_rep_001_target_only_playback.wav</t>
  </si>
  <si>
    <t>references/sample_0010_rep_001_mixture_playback.wav</t>
  </si>
  <si>
    <t>references/sample_0010_rep_001_paired_sequence_playback.wav</t>
  </si>
  <si>
    <t>{"target_only":"metrics/sample_0010_rep_001_target_only.json","mixture":"metrics/sample_0010_rep_001_mixture.json"}</t>
  </si>
  <si>
    <t>数据集采集汇总</t>
  </si>
  <si>
    <t>样本总数</t>
  </si>
  <si>
    <t>标记有效样本</t>
  </si>
  <si>
    <t>训练集样本</t>
  </si>
  <si>
    <t>监督配对样本</t>
  </si>
  <si>
    <t>{
  "project_id": "verify_ten_supervised_pairs",
  "scene_id": "simulated_closed_loop_10_pairs",
  "experiment_id": "simulated_closed_loop_10_pairs",
  "artificial_head_id": "simulator",
  "headset_unit_id": "simulator_headset",
  "wearing_id": "fixed",
  "boom_pose_id": "fixed",
  "target": {
    "source_id": "simulated_mouth",
    "position_id": "front"
  },
  "interferer": {
    "source_id": "simulated_interferer",
    "position_id": "right"
  }
}</t>
  </si>
  <si>
    <t>字段名</t>
  </si>
  <si>
    <t>Excel 列名</t>
  </si>
  <si>
    <t>说明</t>
  </si>
  <si>
    <t>run_id</t>
  </si>
  <si>
    <t>本次采集运行目录名，用于跨运行汇总</t>
  </si>
  <si>
    <t>sample_id</t>
  </si>
  <si>
    <t>一次播录样本的稳定唯一编号</t>
  </si>
  <si>
    <t>supervision_pair_id</t>
  </si>
  <si>
    <t>同一行 mixture 与 target-only 的配对主键</t>
  </si>
  <si>
    <t>capture_type</t>
  </si>
  <si>
    <t>supervised_pair、target_only 或 interferer_only</t>
  </si>
  <si>
    <t>scene_id</t>
  </si>
  <si>
    <t>佩戴、麦杆、干扰源位置等固定的一次物理场景</t>
  </si>
  <si>
    <t>experiment_id</t>
  </si>
  <si>
    <t>一次固定物理条件实验的编号</t>
  </si>
  <si>
    <t>project_id</t>
  </si>
  <si>
    <t>用于跨运行汇总筛选的项目编号</t>
  </si>
  <si>
    <t>manual_label</t>
  </si>
  <si>
    <t>留给人工填写或修订的标签</t>
  </si>
  <si>
    <t>automatic_label</t>
  </si>
  <si>
    <t>由标签前缀和源文件名自动生成</t>
  </si>
  <si>
    <t>dataset_split</t>
  </si>
  <si>
    <t>train、valid 或 test</t>
  </si>
  <si>
    <t>valid</t>
  </si>
  <si>
    <t>人工质检开关：是或否</t>
  </si>
  <si>
    <t>quality_flag</t>
  </si>
  <si>
    <t>自动质检结果</t>
  </si>
  <si>
    <t>quality_gate_enabled</t>
  </si>
  <si>
    <t>由项目模板统一设置，不要求现场人工评分</t>
  </si>
  <si>
    <t>quality_gate_passed</t>
  </si>
  <si>
    <t>仅在启用门限时影响监督可用状态</t>
  </si>
  <si>
    <t>mixture_consistency_residual_db_max</t>
  </si>
  <si>
    <t>各麦克风中 mixture-(target+interferer) 的最大相对残差</t>
  </si>
  <si>
    <t>mixture_consistency_correlation_min</t>
  </si>
  <si>
    <t>各麦克风中 mixture 与 target+interferer 的最低相关系数</t>
  </si>
  <si>
    <t>mixture_consistency_metrics_json</t>
  </si>
  <si>
    <t>混合可加性分通道指标</t>
  </si>
  <si>
    <t>自动质检指标 JSON；真实声学录音不要求精确相加</t>
  </si>
  <si>
    <t>supervision_quality_metrics</t>
  </si>
  <si>
    <t>相对运行目录的自动质检 JSON</t>
  </si>
  <si>
    <t>supervision_ready</t>
  </si>
  <si>
    <t>混合录音是否具有样本级对齐的仅目标标签</t>
  </si>
  <si>
    <t>capture_strategy</t>
  </si>
  <si>
    <t>single_stream_paired_sequence 表示同一声卡流内配对采集</t>
  </si>
  <si>
    <t>shared_hardware_clock</t>
  </si>
  <si>
    <t>输入和输出是否使用同一块可验证的双工声卡</t>
  </si>
  <si>
    <t>target_mixture_sample_aligned</t>
  </si>
  <si>
    <t>仅目标与混合的目标片段是否使用同一源、起点和长度</t>
  </si>
  <si>
    <t>interferer_mixture_sample_aligned</t>
  </si>
  <si>
    <t>干扰与混合样本对齐</t>
  </si>
  <si>
    <t>仅干扰与混合的干扰片段是否使用同一源、起点和长度</t>
  </si>
  <si>
    <t>supervision_contract</t>
  </si>
  <si>
    <t>监督配对约束</t>
  </si>
  <si>
    <t>监督配对所满足的采集与样本复用约束</t>
  </si>
  <si>
    <t>repetition</t>
  </si>
  <si>
    <t>同一物理条件下的重复编号</t>
  </si>
  <si>
    <t>target_source</t>
  </si>
  <si>
    <t>目标干净语音源文件</t>
  </si>
  <si>
    <t>interferer_source</t>
  </si>
  <si>
    <t>干扰声音源文件</t>
  </si>
  <si>
    <t>target_source_sha256</t>
  </si>
  <si>
    <t>目标源文件内容哈希</t>
  </si>
  <si>
    <t>interferer_source_sha256</t>
  </si>
  <si>
    <t>干扰源文件内容哈希</t>
  </si>
  <si>
    <t>duration_s</t>
  </si>
  <si>
    <t>本条播录的实际时长</t>
  </si>
  <si>
    <t>sample_rate_hz</t>
  </si>
  <si>
    <t>录制采样率</t>
  </si>
  <si>
    <t>microphone_channels</t>
  </si>
  <si>
    <t>一基编号，逗号分隔</t>
  </si>
  <si>
    <t>target_output_channel</t>
  </si>
  <si>
    <t>目标声源所用声卡输出</t>
  </si>
  <si>
    <t>interferer_output_channel</t>
  </si>
  <si>
    <t>干扰声源所用声卡输出</t>
  </si>
  <si>
    <t>target_level_dbfs</t>
  </si>
  <si>
    <t>目标数字播放峰值电平</t>
  </si>
  <si>
    <t>interferer_level_dbfs</t>
  </si>
  <si>
    <t>干扰数字播放峰值电平</t>
  </si>
  <si>
    <t>room_id</t>
  </si>
  <si>
    <t>录音房间或声学环境编号</t>
  </si>
  <si>
    <t>artificial_head_id</t>
  </si>
  <si>
    <t>佩戴耳机的人工头个体</t>
  </si>
  <si>
    <t>headset_model_id</t>
  </si>
  <si>
    <t>耳机型号编号</t>
  </si>
  <si>
    <t>headset_unit_id</t>
  </si>
  <si>
    <t>同型号下的物理耳机个体</t>
  </si>
  <si>
    <t>wearing_id</t>
  </si>
  <si>
    <t>一次独立重新佩戴的编号</t>
  </si>
  <si>
    <t>boom_pose_id</t>
  </si>
  <si>
    <t>一次独立麦杆位置或姿态</t>
  </si>
  <si>
    <t>microphone_map_json</t>
  </si>
  <si>
    <t>录制通道到麦克风含义的 JSON 映射</t>
  </si>
  <si>
    <t>capture_profile</t>
  </si>
  <si>
    <t>standard/development/production</t>
  </si>
  <si>
    <t>task_type</t>
  </si>
  <si>
    <t>speech_enhancement/neural_beamforming/rir 等</t>
  </si>
  <si>
    <t>array_id</t>
  </si>
  <si>
    <t>稳定的麦克风阵列或耳机阵列编号</t>
  </si>
  <si>
    <t>array_coordinate_system</t>
  </si>
  <si>
    <t>阵列坐标原点和轴方向定义</t>
  </si>
  <si>
    <t>array_reference_point</t>
  </si>
  <si>
    <t>几何测量的参考点</t>
  </si>
  <si>
    <t>array_reference_channel</t>
  </si>
  <si>
    <t>用于延时/相位参考的一基录制通道</t>
  </si>
  <si>
    <t>array_geometry_sha256</t>
  </si>
  <si>
    <t>阵列定义的稳定哈希，便于跨运行核对</t>
  </si>
  <si>
    <t>array_geometry_json</t>
  </si>
  <si>
    <t>通道、坐标、极性和校准信息 JSON</t>
  </si>
  <si>
    <t>physical_capture_group_id</t>
  </si>
  <si>
    <t>房间、人工头、耳机个体、佩戴和麦杆姿态组合</t>
  </si>
  <si>
    <t>split_group_id</t>
  </si>
  <si>
    <t>同一分组不得同时出现在 train/valid/test</t>
  </si>
  <si>
    <t>speaker_id</t>
  </si>
  <si>
    <t>目标语音说话人，用于防止数据划分泄漏</t>
  </si>
  <si>
    <t>utterance_id</t>
  </si>
  <si>
    <t>目标语句编号，用于防止数据划分泄漏</t>
  </si>
  <si>
    <t>noise_id</t>
  </si>
  <si>
    <t>干扰录音或干扰事件编号</t>
  </si>
  <si>
    <t>noise_class</t>
  </si>
  <si>
    <t>噪声/干扰的语义类别</t>
  </si>
  <si>
    <t>target_source_id</t>
  </si>
  <si>
    <t>人工嘴或目标扬声器编号</t>
  </si>
  <si>
    <t>target_position_id</t>
  </si>
  <si>
    <t>目标声源位置编号</t>
  </si>
  <si>
    <t>target_azimuth_deg</t>
  </si>
  <si>
    <t>目标声源相对人工头方位角</t>
  </si>
  <si>
    <t>target_elevation_deg</t>
  </si>
  <si>
    <t>目标声源相对人工头俯仰角</t>
  </si>
  <si>
    <t>target_height_m</t>
  </si>
  <si>
    <t>目标声源实测高度</t>
  </si>
  <si>
    <t>target_distance_m</t>
  </si>
  <si>
    <t>目标声源到参考点实测距离</t>
  </si>
  <si>
    <t>interferer_source_id</t>
  </si>
  <si>
    <t>干扰扬声器或声源编号</t>
  </si>
  <si>
    <t>interferer_position_id</t>
  </si>
  <si>
    <t>干扰声源位置编号</t>
  </si>
  <si>
    <t>interferer_azimuth_deg</t>
  </si>
  <si>
    <t>干扰源相对人工头方位角</t>
  </si>
  <si>
    <t>interferer_elevation_deg</t>
  </si>
  <si>
    <t>干扰源相对人工头俯仰角</t>
  </si>
  <si>
    <t>interferer_height_m</t>
  </si>
  <si>
    <t>干扰源实测高度</t>
  </si>
  <si>
    <t>interferer_distance_m</t>
  </si>
  <si>
    <t>干扰源到参考点实测距离</t>
  </si>
  <si>
    <t>ambient_recording</t>
  </si>
  <si>
    <t>相对于本次运行目录的路径</t>
  </si>
  <si>
    <t>target_recording</t>
  </si>
  <si>
    <t>interferer_recording</t>
  </si>
  <si>
    <t>mixture_recording</t>
  </si>
  <si>
    <t>target_playback</t>
  </si>
  <si>
    <t>两路输出矩阵，未使用通道为零</t>
  </si>
  <si>
    <t>interferer_playback</t>
  </si>
  <si>
    <t>mixture_playback</t>
  </si>
  <si>
    <t>目标与干扰播放矩阵之和</t>
  </si>
  <si>
    <t>paired_sequence_recording</t>
  </si>
  <si>
    <t>一次连续声卡流的完整麦克风录音</t>
  </si>
  <si>
    <t>paired_sequence_playback</t>
  </si>
  <si>
    <t>一次连续声卡流的完整播放矩阵</t>
  </si>
  <si>
    <t>segment_layout</t>
  </si>
  <si>
    <t>各配对片段在连续声卡流中的起止采样点</t>
  </si>
  <si>
    <t>target_segment_start_sample</t>
  </si>
  <si>
    <t>目标片段起点</t>
  </si>
  <si>
    <t>target-only 在连续声卡流内的起始采样点</t>
  </si>
  <si>
    <t>mixture_segment_start_sample</t>
  </si>
  <si>
    <t>混合片段起点</t>
  </si>
  <si>
    <t>mixture 在连续声卡流内的起始采样点</t>
  </si>
  <si>
    <t>metrics_files</t>
  </si>
  <si>
    <t>各场景指标 JSON 路径</t>
  </si>
  <si>
    <t>metadata_json</t>
  </si>
  <si>
    <t>人工头、佩戴、位置等 JSON</t>
  </si>
  <si>
    <t>notes</t>
  </si>
  <si>
    <t>可人工补充</t>
  </si>
</sst>
</file>

<file path=xl/styles.xml><?xml version="1.0" encoding="utf-8"?>
<styleSheet xmlns="http://schemas.openxmlformats.org/spreadsheetml/2006/main">
  <numFmts count="1">
    <numFmt numFmtId="164" formatCode="0.000"/>
  </numFmts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sz val="11"/>
      <color rgb="FF595959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54823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vertical="top"/>
    </xf>
    <xf numFmtId="164" fontId="0" fillId="0" borderId="0" xfId="0" applyNumberFormat="1" applyAlignment="1">
      <alignment vertical="top"/>
    </xf>
    <xf numFmtId="0" fontId="0" fillId="0" borderId="0" xfId="0" applyAlignment="1">
      <alignment vertical="top" wrapText="1"/>
    </xf>
    <xf numFmtId="0" fontId="1" fillId="3" borderId="0" xfId="0" applyFont="1" applyFill="1" applyAlignment="1">
      <alignment horizontal="left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2">
    <dxf>
      <font>
        <color rgb="FF9C0006"/>
      </font>
      <fill>
        <patternFill>
          <bgColor rgb="FFF4CCCC"/>
        </patternFill>
      </fill>
    </dxf>
    <dxf>
      <font>
        <color rgb="FF7F6000"/>
      </font>
      <fill>
        <patternFill>
          <bgColor rgb="FFFFF2CC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11"/>
  <sheetViews>
    <sheetView showGridLines="0" tabSelected="1" workbookViewId="0">
      <pane xSplit="3" ySplit="1" topLeftCell="D2" activePane="bottomRight" state="frozen"/>
      <selection pane="topRight" activeCell="D1" sqref="D1"/>
      <selection pane="bottomLeft" activeCell="A2" sqref="A2"/>
      <selection pane="bottomRight"/>
    </sheetView>
  </sheetViews>
  <sheetFormatPr defaultRowHeight="15"/>
  <cols>
    <col min="1" max="1" width="34.7109375" customWidth="1"/>
    <col min="2" max="2" width="18.7109375" customWidth="1"/>
    <col min="3" max="3" width="30.7109375" customWidth="1"/>
    <col min="4" max="4" width="12.7109375" customWidth="1"/>
    <col min="5" max="5" width="10.7109375" customWidth="1"/>
    <col min="6" max="6" width="18.7109375" customWidth="1"/>
    <col min="7" max="7" width="10.7109375" customWidth="1"/>
    <col min="8" max="8" width="12.7109375" customWidth="1"/>
    <col min="9" max="9" width="24.7109375" customWidth="1"/>
    <col min="10" max="19" width="18.7109375" customWidth="1"/>
  </cols>
  <sheetData>
    <row r="1" spans="1:19" ht="3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s="2" t="s">
        <v>19</v>
      </c>
      <c r="B2" s="2" t="s">
        <v>20</v>
      </c>
      <c r="C2" s="2" t="s">
        <v>20</v>
      </c>
      <c r="D2" s="2" t="s">
        <v>21</v>
      </c>
      <c r="E2" s="2" t="s">
        <v>22</v>
      </c>
      <c r="F2" s="2"/>
      <c r="G2" s="2" t="s">
        <v>23</v>
      </c>
      <c r="H2" s="2" t="s">
        <v>24</v>
      </c>
      <c r="I2" s="2" t="s">
        <v>25</v>
      </c>
      <c r="J2" s="2" t="s">
        <v>26</v>
      </c>
      <c r="K2" s="2" t="s">
        <v>27</v>
      </c>
      <c r="L2" s="2"/>
      <c r="M2" s="2"/>
      <c r="N2" s="2" t="s">
        <v>25</v>
      </c>
      <c r="O2" s="2" t="s">
        <v>25</v>
      </c>
      <c r="P2" s="2" t="s">
        <v>25</v>
      </c>
      <c r="Q2" s="2">
        <v>1</v>
      </c>
      <c r="R2" s="3">
        <v>0.32</v>
      </c>
      <c r="S2" s="4"/>
    </row>
    <row r="3" spans="1:19">
      <c r="A3" s="2" t="s">
        <v>19</v>
      </c>
      <c r="B3" s="2" t="s">
        <v>28</v>
      </c>
      <c r="C3" s="2" t="s">
        <v>28</v>
      </c>
      <c r="D3" s="2" t="s">
        <v>21</v>
      </c>
      <c r="E3" s="2" t="s">
        <v>22</v>
      </c>
      <c r="F3" s="2"/>
      <c r="G3" s="2" t="s">
        <v>29</v>
      </c>
      <c r="H3" s="2" t="s">
        <v>24</v>
      </c>
      <c r="I3" s="2" t="s">
        <v>25</v>
      </c>
      <c r="J3" s="2" t="s">
        <v>26</v>
      </c>
      <c r="K3" s="2" t="s">
        <v>27</v>
      </c>
      <c r="L3" s="2"/>
      <c r="M3" s="2"/>
      <c r="N3" s="2" t="s">
        <v>25</v>
      </c>
      <c r="O3" s="2" t="s">
        <v>25</v>
      </c>
      <c r="P3" s="2" t="s">
        <v>25</v>
      </c>
      <c r="Q3" s="2">
        <v>1</v>
      </c>
      <c r="R3" s="3">
        <v>0.32</v>
      </c>
      <c r="S3" s="4"/>
    </row>
    <row r="4" spans="1:19">
      <c r="A4" s="2" t="s">
        <v>19</v>
      </c>
      <c r="B4" s="2" t="s">
        <v>30</v>
      </c>
      <c r="C4" s="2" t="s">
        <v>30</v>
      </c>
      <c r="D4" s="2" t="s">
        <v>21</v>
      </c>
      <c r="E4" s="2" t="s">
        <v>22</v>
      </c>
      <c r="F4" s="2"/>
      <c r="G4" s="2" t="s">
        <v>31</v>
      </c>
      <c r="H4" s="2" t="s">
        <v>24</v>
      </c>
      <c r="I4" s="2" t="s">
        <v>25</v>
      </c>
      <c r="J4" s="2" t="s">
        <v>26</v>
      </c>
      <c r="K4" s="2" t="s">
        <v>27</v>
      </c>
      <c r="L4" s="2"/>
      <c r="M4" s="2"/>
      <c r="N4" s="2" t="s">
        <v>25</v>
      </c>
      <c r="O4" s="2" t="s">
        <v>25</v>
      </c>
      <c r="P4" s="2" t="s">
        <v>25</v>
      </c>
      <c r="Q4" s="2">
        <v>1</v>
      </c>
      <c r="R4" s="3">
        <v>0.32</v>
      </c>
      <c r="S4" s="4"/>
    </row>
    <row r="5" spans="1:19">
      <c r="A5" s="2" t="s">
        <v>19</v>
      </c>
      <c r="B5" s="2" t="s">
        <v>32</v>
      </c>
      <c r="C5" s="2" t="s">
        <v>32</v>
      </c>
      <c r="D5" s="2" t="s">
        <v>21</v>
      </c>
      <c r="E5" s="2" t="s">
        <v>22</v>
      </c>
      <c r="F5" s="2"/>
      <c r="G5" s="2" t="s">
        <v>33</v>
      </c>
      <c r="H5" s="2" t="s">
        <v>24</v>
      </c>
      <c r="I5" s="2" t="s">
        <v>25</v>
      </c>
      <c r="J5" s="2" t="s">
        <v>26</v>
      </c>
      <c r="K5" s="2" t="s">
        <v>27</v>
      </c>
      <c r="L5" s="2"/>
      <c r="M5" s="2"/>
      <c r="N5" s="2" t="s">
        <v>25</v>
      </c>
      <c r="O5" s="2" t="s">
        <v>25</v>
      </c>
      <c r="P5" s="2" t="s">
        <v>25</v>
      </c>
      <c r="Q5" s="2">
        <v>1</v>
      </c>
      <c r="R5" s="3">
        <v>0.32</v>
      </c>
      <c r="S5" s="4"/>
    </row>
    <row r="6" spans="1:19">
      <c r="A6" s="2" t="s">
        <v>19</v>
      </c>
      <c r="B6" s="2" t="s">
        <v>34</v>
      </c>
      <c r="C6" s="2" t="s">
        <v>34</v>
      </c>
      <c r="D6" s="2" t="s">
        <v>21</v>
      </c>
      <c r="E6" s="2" t="s">
        <v>22</v>
      </c>
      <c r="F6" s="2"/>
      <c r="G6" s="2" t="s">
        <v>35</v>
      </c>
      <c r="H6" s="2" t="s">
        <v>24</v>
      </c>
      <c r="I6" s="2" t="s">
        <v>25</v>
      </c>
      <c r="J6" s="2" t="s">
        <v>26</v>
      </c>
      <c r="K6" s="2" t="s">
        <v>27</v>
      </c>
      <c r="L6" s="2"/>
      <c r="M6" s="2"/>
      <c r="N6" s="2" t="s">
        <v>25</v>
      </c>
      <c r="O6" s="2" t="s">
        <v>25</v>
      </c>
      <c r="P6" s="2" t="s">
        <v>25</v>
      </c>
      <c r="Q6" s="2">
        <v>1</v>
      </c>
      <c r="R6" s="3">
        <v>0.32</v>
      </c>
      <c r="S6" s="4"/>
    </row>
    <row r="7" spans="1:19">
      <c r="A7" s="2" t="s">
        <v>19</v>
      </c>
      <c r="B7" s="2" t="s">
        <v>36</v>
      </c>
      <c r="C7" s="2" t="s">
        <v>36</v>
      </c>
      <c r="D7" s="2" t="s">
        <v>21</v>
      </c>
      <c r="E7" s="2" t="s">
        <v>22</v>
      </c>
      <c r="F7" s="2"/>
      <c r="G7" s="2" t="s">
        <v>37</v>
      </c>
      <c r="H7" s="2" t="s">
        <v>24</v>
      </c>
      <c r="I7" s="2" t="s">
        <v>25</v>
      </c>
      <c r="J7" s="2" t="s">
        <v>26</v>
      </c>
      <c r="K7" s="2" t="s">
        <v>27</v>
      </c>
      <c r="L7" s="2"/>
      <c r="M7" s="2"/>
      <c r="N7" s="2" t="s">
        <v>25</v>
      </c>
      <c r="O7" s="2" t="s">
        <v>25</v>
      </c>
      <c r="P7" s="2" t="s">
        <v>25</v>
      </c>
      <c r="Q7" s="2">
        <v>1</v>
      </c>
      <c r="R7" s="3">
        <v>0.32</v>
      </c>
      <c r="S7" s="4"/>
    </row>
    <row r="8" spans="1:19">
      <c r="A8" s="2" t="s">
        <v>19</v>
      </c>
      <c r="B8" s="2" t="s">
        <v>38</v>
      </c>
      <c r="C8" s="2" t="s">
        <v>38</v>
      </c>
      <c r="D8" s="2" t="s">
        <v>21</v>
      </c>
      <c r="E8" s="2" t="s">
        <v>22</v>
      </c>
      <c r="F8" s="2"/>
      <c r="G8" s="2" t="s">
        <v>39</v>
      </c>
      <c r="H8" s="2" t="s">
        <v>24</v>
      </c>
      <c r="I8" s="2" t="s">
        <v>25</v>
      </c>
      <c r="J8" s="2" t="s">
        <v>26</v>
      </c>
      <c r="K8" s="2" t="s">
        <v>27</v>
      </c>
      <c r="L8" s="2"/>
      <c r="M8" s="2"/>
      <c r="N8" s="2" t="s">
        <v>25</v>
      </c>
      <c r="O8" s="2" t="s">
        <v>25</v>
      </c>
      <c r="P8" s="2" t="s">
        <v>25</v>
      </c>
      <c r="Q8" s="2">
        <v>1</v>
      </c>
      <c r="R8" s="3">
        <v>0.32</v>
      </c>
      <c r="S8" s="4"/>
    </row>
    <row r="9" spans="1:19">
      <c r="A9" s="2" t="s">
        <v>19</v>
      </c>
      <c r="B9" s="2" t="s">
        <v>40</v>
      </c>
      <c r="C9" s="2" t="s">
        <v>40</v>
      </c>
      <c r="D9" s="2" t="s">
        <v>21</v>
      </c>
      <c r="E9" s="2" t="s">
        <v>22</v>
      </c>
      <c r="F9" s="2"/>
      <c r="G9" s="2" t="s">
        <v>41</v>
      </c>
      <c r="H9" s="2" t="s">
        <v>24</v>
      </c>
      <c r="I9" s="2" t="s">
        <v>25</v>
      </c>
      <c r="J9" s="2" t="s">
        <v>26</v>
      </c>
      <c r="K9" s="2" t="s">
        <v>27</v>
      </c>
      <c r="L9" s="2"/>
      <c r="M9" s="2"/>
      <c r="N9" s="2" t="s">
        <v>25</v>
      </c>
      <c r="O9" s="2" t="s">
        <v>25</v>
      </c>
      <c r="P9" s="2" t="s">
        <v>25</v>
      </c>
      <c r="Q9" s="2">
        <v>1</v>
      </c>
      <c r="R9" s="3">
        <v>0.32</v>
      </c>
      <c r="S9" s="4"/>
    </row>
    <row r="10" spans="1:19">
      <c r="A10" s="2" t="s">
        <v>19</v>
      </c>
      <c r="B10" s="2" t="s">
        <v>42</v>
      </c>
      <c r="C10" s="2" t="s">
        <v>42</v>
      </c>
      <c r="D10" s="2" t="s">
        <v>21</v>
      </c>
      <c r="E10" s="2" t="s">
        <v>22</v>
      </c>
      <c r="F10" s="2"/>
      <c r="G10" s="2" t="s">
        <v>43</v>
      </c>
      <c r="H10" s="2" t="s">
        <v>24</v>
      </c>
      <c r="I10" s="2" t="s">
        <v>25</v>
      </c>
      <c r="J10" s="2" t="s">
        <v>26</v>
      </c>
      <c r="K10" s="2" t="s">
        <v>27</v>
      </c>
      <c r="L10" s="2"/>
      <c r="M10" s="2"/>
      <c r="N10" s="2" t="s">
        <v>25</v>
      </c>
      <c r="O10" s="2" t="s">
        <v>25</v>
      </c>
      <c r="P10" s="2" t="s">
        <v>25</v>
      </c>
      <c r="Q10" s="2">
        <v>1</v>
      </c>
      <c r="R10" s="3">
        <v>0.32</v>
      </c>
      <c r="S10" s="4"/>
    </row>
    <row r="11" spans="1:19">
      <c r="A11" s="2" t="s">
        <v>19</v>
      </c>
      <c r="B11" s="2" t="s">
        <v>44</v>
      </c>
      <c r="C11" s="2" t="s">
        <v>44</v>
      </c>
      <c r="D11" s="2" t="s">
        <v>21</v>
      </c>
      <c r="E11" s="2" t="s">
        <v>22</v>
      </c>
      <c r="F11" s="2"/>
      <c r="G11" s="2" t="s">
        <v>45</v>
      </c>
      <c r="H11" s="2" t="s">
        <v>24</v>
      </c>
      <c r="I11" s="2" t="s">
        <v>25</v>
      </c>
      <c r="J11" s="2" t="s">
        <v>26</v>
      </c>
      <c r="K11" s="2" t="s">
        <v>27</v>
      </c>
      <c r="L11" s="2"/>
      <c r="M11" s="2"/>
      <c r="N11" s="2" t="s">
        <v>25</v>
      </c>
      <c r="O11" s="2" t="s">
        <v>25</v>
      </c>
      <c r="P11" s="2" t="s">
        <v>25</v>
      </c>
      <c r="Q11" s="2">
        <v>1</v>
      </c>
      <c r="R11" s="3">
        <v>0.32</v>
      </c>
      <c r="S11" s="4"/>
    </row>
  </sheetData>
  <autoFilter ref="A1:S11"/>
  <conditionalFormatting sqref="I2:I1001">
    <cfRule type="containsText" dxfId="0" priority="1" operator="containsText" text="否">
      <formula>NOT(ISERROR(SEARCH("否",I2)))</formula>
    </cfRule>
  </conditionalFormatting>
  <conditionalFormatting sqref="J2:J1001">
    <cfRule type="notContainsText" dxfId="1" priority="2" operator="notContains" text="通过">
      <formula>ISERROR(SEARCH("通过",J2))</formula>
    </cfRule>
  </conditionalFormatting>
  <dataValidations count="2">
    <dataValidation type="list" allowBlank="1" showInputMessage="1" showErrorMessage="1" sqref="H2:H1001">
      <formula1>"train,valid,test"</formula1>
    </dataValidation>
    <dataValidation type="list" allowBlank="1" showInputMessage="1" showErrorMessage="1" sqref="I2:I1001">
      <formula1>"是,否"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11"/>
  <sheetViews>
    <sheetView showGridLines="0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34.7109375" customWidth="1"/>
    <col min="2" max="8" width="18.7109375" customWidth="1"/>
  </cols>
  <sheetData>
    <row r="1" spans="1:8" ht="30" customHeight="1">
      <c r="A1" s="1" t="s">
        <v>1</v>
      </c>
      <c r="B1" s="1" t="s">
        <v>46</v>
      </c>
      <c r="C1" s="1" t="s">
        <v>47</v>
      </c>
      <c r="D1" s="1" t="s">
        <v>48</v>
      </c>
      <c r="E1" s="1" t="s">
        <v>49</v>
      </c>
      <c r="F1" s="1" t="s">
        <v>50</v>
      </c>
      <c r="G1" s="1" t="s">
        <v>51</v>
      </c>
      <c r="H1" s="1" t="s">
        <v>52</v>
      </c>
    </row>
    <row r="2" spans="1:8">
      <c r="A2" s="2" t="s">
        <v>20</v>
      </c>
      <c r="B2" s="2" t="s">
        <v>53</v>
      </c>
      <c r="C2" s="2">
        <v>16000</v>
      </c>
      <c r="D2" s="2" t="s">
        <v>54</v>
      </c>
      <c r="E2" s="2">
        <v>1</v>
      </c>
      <c r="F2" s="2">
        <v>2</v>
      </c>
      <c r="G2" s="3">
        <v>-18</v>
      </c>
      <c r="H2" s="3">
        <v>-18</v>
      </c>
    </row>
    <row r="3" spans="1:8">
      <c r="A3" s="2" t="s">
        <v>28</v>
      </c>
      <c r="B3" s="2" t="s">
        <v>53</v>
      </c>
      <c r="C3" s="2">
        <v>16000</v>
      </c>
      <c r="D3" s="2" t="s">
        <v>54</v>
      </c>
      <c r="E3" s="2">
        <v>1</v>
      </c>
      <c r="F3" s="2">
        <v>2</v>
      </c>
      <c r="G3" s="3">
        <v>-18</v>
      </c>
      <c r="H3" s="3">
        <v>-18</v>
      </c>
    </row>
    <row r="4" spans="1:8">
      <c r="A4" s="2" t="s">
        <v>30</v>
      </c>
      <c r="B4" s="2" t="s">
        <v>53</v>
      </c>
      <c r="C4" s="2">
        <v>16000</v>
      </c>
      <c r="D4" s="2" t="s">
        <v>54</v>
      </c>
      <c r="E4" s="2">
        <v>1</v>
      </c>
      <c r="F4" s="2">
        <v>2</v>
      </c>
      <c r="G4" s="3">
        <v>-18</v>
      </c>
      <c r="H4" s="3">
        <v>-18</v>
      </c>
    </row>
    <row r="5" spans="1:8">
      <c r="A5" s="2" t="s">
        <v>32</v>
      </c>
      <c r="B5" s="2" t="s">
        <v>53</v>
      </c>
      <c r="C5" s="2">
        <v>16000</v>
      </c>
      <c r="D5" s="2" t="s">
        <v>54</v>
      </c>
      <c r="E5" s="2">
        <v>1</v>
      </c>
      <c r="F5" s="2">
        <v>2</v>
      </c>
      <c r="G5" s="3">
        <v>-18</v>
      </c>
      <c r="H5" s="3">
        <v>-18</v>
      </c>
    </row>
    <row r="6" spans="1:8">
      <c r="A6" s="2" t="s">
        <v>34</v>
      </c>
      <c r="B6" s="2" t="s">
        <v>53</v>
      </c>
      <c r="C6" s="2">
        <v>16000</v>
      </c>
      <c r="D6" s="2" t="s">
        <v>54</v>
      </c>
      <c r="E6" s="2">
        <v>1</v>
      </c>
      <c r="F6" s="2">
        <v>2</v>
      </c>
      <c r="G6" s="3">
        <v>-18</v>
      </c>
      <c r="H6" s="3">
        <v>-18</v>
      </c>
    </row>
    <row r="7" spans="1:8">
      <c r="A7" s="2" t="s">
        <v>36</v>
      </c>
      <c r="B7" s="2" t="s">
        <v>53</v>
      </c>
      <c r="C7" s="2">
        <v>16000</v>
      </c>
      <c r="D7" s="2" t="s">
        <v>54</v>
      </c>
      <c r="E7" s="2">
        <v>1</v>
      </c>
      <c r="F7" s="2">
        <v>2</v>
      </c>
      <c r="G7" s="3">
        <v>-18</v>
      </c>
      <c r="H7" s="3">
        <v>-18</v>
      </c>
    </row>
    <row r="8" spans="1:8">
      <c r="A8" s="2" t="s">
        <v>38</v>
      </c>
      <c r="B8" s="2" t="s">
        <v>53</v>
      </c>
      <c r="C8" s="2">
        <v>16000</v>
      </c>
      <c r="D8" s="2" t="s">
        <v>54</v>
      </c>
      <c r="E8" s="2">
        <v>1</v>
      </c>
      <c r="F8" s="2">
        <v>2</v>
      </c>
      <c r="G8" s="3">
        <v>-18</v>
      </c>
      <c r="H8" s="3">
        <v>-18</v>
      </c>
    </row>
    <row r="9" spans="1:8">
      <c r="A9" s="2" t="s">
        <v>40</v>
      </c>
      <c r="B9" s="2" t="s">
        <v>53</v>
      </c>
      <c r="C9" s="2">
        <v>16000</v>
      </c>
      <c r="D9" s="2" t="s">
        <v>54</v>
      </c>
      <c r="E9" s="2">
        <v>1</v>
      </c>
      <c r="F9" s="2">
        <v>2</v>
      </c>
      <c r="G9" s="3">
        <v>-18</v>
      </c>
      <c r="H9" s="3">
        <v>-18</v>
      </c>
    </row>
    <row r="10" spans="1:8">
      <c r="A10" s="2" t="s">
        <v>42</v>
      </c>
      <c r="B10" s="2" t="s">
        <v>53</v>
      </c>
      <c r="C10" s="2">
        <v>16000</v>
      </c>
      <c r="D10" s="2" t="s">
        <v>54</v>
      </c>
      <c r="E10" s="2">
        <v>1</v>
      </c>
      <c r="F10" s="2">
        <v>2</v>
      </c>
      <c r="G10" s="3">
        <v>-18</v>
      </c>
      <c r="H10" s="3">
        <v>-18</v>
      </c>
    </row>
    <row r="11" spans="1:8">
      <c r="A11" s="2" t="s">
        <v>44</v>
      </c>
      <c r="B11" s="2" t="s">
        <v>53</v>
      </c>
      <c r="C11" s="2">
        <v>16000</v>
      </c>
      <c r="D11" s="2" t="s">
        <v>54</v>
      </c>
      <c r="E11" s="2">
        <v>1</v>
      </c>
      <c r="F11" s="2">
        <v>2</v>
      </c>
      <c r="G11" s="3">
        <v>-18</v>
      </c>
      <c r="H11" s="3">
        <v>-18</v>
      </c>
    </row>
  </sheetData>
  <autoFilter ref="A1:H1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J11"/>
  <sheetViews>
    <sheetView showGridLines="0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34.7109375" customWidth="1"/>
    <col min="2" max="36" width="20.7109375" customWidth="1"/>
  </cols>
  <sheetData>
    <row r="1" spans="1:36">
      <c r="A1" s="1" t="s">
        <v>1</v>
      </c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63</v>
      </c>
      <c r="K1" s="1" t="s">
        <v>64</v>
      </c>
      <c r="L1" s="1" t="s">
        <v>65</v>
      </c>
      <c r="M1" s="1" t="s">
        <v>66</v>
      </c>
      <c r="N1" s="1" t="s">
        <v>67</v>
      </c>
      <c r="O1" s="1" t="s">
        <v>68</v>
      </c>
      <c r="P1" s="1" t="s">
        <v>69</v>
      </c>
      <c r="Q1" s="1" t="s">
        <v>70</v>
      </c>
      <c r="R1" s="1" t="s">
        <v>71</v>
      </c>
      <c r="S1" s="1" t="s">
        <v>72</v>
      </c>
      <c r="T1" s="1" t="s">
        <v>73</v>
      </c>
      <c r="U1" s="1" t="s">
        <v>74</v>
      </c>
      <c r="V1" s="1" t="s">
        <v>75</v>
      </c>
      <c r="W1" s="1" t="s">
        <v>76</v>
      </c>
      <c r="X1" s="1" t="s">
        <v>77</v>
      </c>
      <c r="Y1" s="1" t="s">
        <v>78</v>
      </c>
      <c r="Z1" s="1" t="s">
        <v>79</v>
      </c>
      <c r="AA1" s="1" t="s">
        <v>80</v>
      </c>
      <c r="AB1" s="1" t="s">
        <v>81</v>
      </c>
      <c r="AC1" s="1" t="s">
        <v>82</v>
      </c>
      <c r="AD1" s="1" t="s">
        <v>83</v>
      </c>
      <c r="AE1" s="1" t="s">
        <v>84</v>
      </c>
      <c r="AF1" s="1" t="s">
        <v>85</v>
      </c>
      <c r="AG1" s="1" t="s">
        <v>86</v>
      </c>
      <c r="AH1" s="1" t="s">
        <v>87</v>
      </c>
      <c r="AI1" s="1" t="s">
        <v>88</v>
      </c>
      <c r="AJ1" s="1" t="s">
        <v>89</v>
      </c>
    </row>
    <row r="2" spans="1:36">
      <c r="A2" s="4" t="s">
        <v>20</v>
      </c>
      <c r="B2" s="4" t="s">
        <v>90</v>
      </c>
      <c r="C2" s="4" t="s">
        <v>22</v>
      </c>
      <c r="D2" s="4"/>
      <c r="E2" s="4" t="s">
        <v>91</v>
      </c>
      <c r="F2" s="4"/>
      <c r="G2" s="4" t="s">
        <v>92</v>
      </c>
      <c r="H2" s="4" t="s">
        <v>93</v>
      </c>
      <c r="I2" s="4" t="s">
        <v>93</v>
      </c>
      <c r="J2" s="4" t="s">
        <v>94</v>
      </c>
      <c r="K2" s="4" t="s">
        <v>95</v>
      </c>
      <c r="L2" s="4"/>
      <c r="M2" s="4"/>
      <c r="N2" s="4"/>
      <c r="O2" s="4"/>
      <c r="P2" s="4"/>
      <c r="Q2" s="4"/>
      <c r="R2" s="4" t="s">
        <v>94</v>
      </c>
      <c r="S2" s="4" t="s">
        <v>96</v>
      </c>
      <c r="T2" s="4" t="s">
        <v>96</v>
      </c>
      <c r="U2" s="4"/>
      <c r="V2" s="4"/>
      <c r="W2" s="4"/>
      <c r="X2" s="4"/>
      <c r="Y2" s="4" t="s">
        <v>97</v>
      </c>
      <c r="Z2" s="4" t="s">
        <v>98</v>
      </c>
      <c r="AA2" s="4"/>
      <c r="AB2" s="4"/>
      <c r="AC2" s="4"/>
      <c r="AD2" s="4"/>
      <c r="AE2" s="4" t="s">
        <v>99</v>
      </c>
      <c r="AF2" s="4" t="s">
        <v>100</v>
      </c>
      <c r="AG2" s="4"/>
      <c r="AH2" s="4"/>
      <c r="AI2" s="4"/>
      <c r="AJ2" s="4"/>
    </row>
    <row r="3" spans="1:36">
      <c r="A3" s="4" t="s">
        <v>28</v>
      </c>
      <c r="B3" s="4" t="s">
        <v>90</v>
      </c>
      <c r="C3" s="4" t="s">
        <v>22</v>
      </c>
      <c r="D3" s="4"/>
      <c r="E3" s="4" t="s">
        <v>91</v>
      </c>
      <c r="F3" s="4"/>
      <c r="G3" s="4" t="s">
        <v>92</v>
      </c>
      <c r="H3" s="4" t="s">
        <v>93</v>
      </c>
      <c r="I3" s="4" t="s">
        <v>93</v>
      </c>
      <c r="J3" s="4" t="s">
        <v>94</v>
      </c>
      <c r="K3" s="4" t="s">
        <v>95</v>
      </c>
      <c r="L3" s="4"/>
      <c r="M3" s="4"/>
      <c r="N3" s="4"/>
      <c r="O3" s="4"/>
      <c r="P3" s="4"/>
      <c r="Q3" s="4"/>
      <c r="R3" s="4" t="s">
        <v>94</v>
      </c>
      <c r="S3" s="4" t="s">
        <v>96</v>
      </c>
      <c r="T3" s="4" t="s">
        <v>96</v>
      </c>
      <c r="U3" s="4"/>
      <c r="V3" s="4"/>
      <c r="W3" s="4"/>
      <c r="X3" s="4"/>
      <c r="Y3" s="4" t="s">
        <v>97</v>
      </c>
      <c r="Z3" s="4" t="s">
        <v>98</v>
      </c>
      <c r="AA3" s="4"/>
      <c r="AB3" s="4"/>
      <c r="AC3" s="4"/>
      <c r="AD3" s="4"/>
      <c r="AE3" s="4" t="s">
        <v>99</v>
      </c>
      <c r="AF3" s="4" t="s">
        <v>100</v>
      </c>
      <c r="AG3" s="4"/>
      <c r="AH3" s="4"/>
      <c r="AI3" s="4"/>
      <c r="AJ3" s="4"/>
    </row>
    <row r="4" spans="1:36">
      <c r="A4" s="4" t="s">
        <v>30</v>
      </c>
      <c r="B4" s="4" t="s">
        <v>90</v>
      </c>
      <c r="C4" s="4" t="s">
        <v>22</v>
      </c>
      <c r="D4" s="4"/>
      <c r="E4" s="4" t="s">
        <v>91</v>
      </c>
      <c r="F4" s="4"/>
      <c r="G4" s="4" t="s">
        <v>92</v>
      </c>
      <c r="H4" s="4" t="s">
        <v>93</v>
      </c>
      <c r="I4" s="4" t="s">
        <v>93</v>
      </c>
      <c r="J4" s="4" t="s">
        <v>94</v>
      </c>
      <c r="K4" s="4" t="s">
        <v>95</v>
      </c>
      <c r="L4" s="4"/>
      <c r="M4" s="4"/>
      <c r="N4" s="4"/>
      <c r="O4" s="4"/>
      <c r="P4" s="4"/>
      <c r="Q4" s="4"/>
      <c r="R4" s="4" t="s">
        <v>94</v>
      </c>
      <c r="S4" s="4" t="s">
        <v>96</v>
      </c>
      <c r="T4" s="4" t="s">
        <v>96</v>
      </c>
      <c r="U4" s="4"/>
      <c r="V4" s="4"/>
      <c r="W4" s="4"/>
      <c r="X4" s="4"/>
      <c r="Y4" s="4" t="s">
        <v>97</v>
      </c>
      <c r="Z4" s="4" t="s">
        <v>98</v>
      </c>
      <c r="AA4" s="4"/>
      <c r="AB4" s="4"/>
      <c r="AC4" s="4"/>
      <c r="AD4" s="4"/>
      <c r="AE4" s="4" t="s">
        <v>99</v>
      </c>
      <c r="AF4" s="4" t="s">
        <v>100</v>
      </c>
      <c r="AG4" s="4"/>
      <c r="AH4" s="4"/>
      <c r="AI4" s="4"/>
      <c r="AJ4" s="4"/>
    </row>
    <row r="5" spans="1:36">
      <c r="A5" s="4" t="s">
        <v>32</v>
      </c>
      <c r="B5" s="4" t="s">
        <v>90</v>
      </c>
      <c r="C5" s="4" t="s">
        <v>22</v>
      </c>
      <c r="D5" s="4"/>
      <c r="E5" s="4" t="s">
        <v>91</v>
      </c>
      <c r="F5" s="4"/>
      <c r="G5" s="4" t="s">
        <v>92</v>
      </c>
      <c r="H5" s="4" t="s">
        <v>93</v>
      </c>
      <c r="I5" s="4" t="s">
        <v>93</v>
      </c>
      <c r="J5" s="4" t="s">
        <v>94</v>
      </c>
      <c r="K5" s="4" t="s">
        <v>95</v>
      </c>
      <c r="L5" s="4"/>
      <c r="M5" s="4"/>
      <c r="N5" s="4"/>
      <c r="O5" s="4"/>
      <c r="P5" s="4"/>
      <c r="Q5" s="4"/>
      <c r="R5" s="4" t="s">
        <v>94</v>
      </c>
      <c r="S5" s="4" t="s">
        <v>96</v>
      </c>
      <c r="T5" s="4" t="s">
        <v>96</v>
      </c>
      <c r="U5" s="4"/>
      <c r="V5" s="4"/>
      <c r="W5" s="4"/>
      <c r="X5" s="4"/>
      <c r="Y5" s="4" t="s">
        <v>97</v>
      </c>
      <c r="Z5" s="4" t="s">
        <v>98</v>
      </c>
      <c r="AA5" s="4"/>
      <c r="AB5" s="4"/>
      <c r="AC5" s="4"/>
      <c r="AD5" s="4"/>
      <c r="AE5" s="4" t="s">
        <v>99</v>
      </c>
      <c r="AF5" s="4" t="s">
        <v>100</v>
      </c>
      <c r="AG5" s="4"/>
      <c r="AH5" s="4"/>
      <c r="AI5" s="4"/>
      <c r="AJ5" s="4"/>
    </row>
    <row r="6" spans="1:36">
      <c r="A6" s="4" t="s">
        <v>34</v>
      </c>
      <c r="B6" s="4" t="s">
        <v>90</v>
      </c>
      <c r="C6" s="4" t="s">
        <v>22</v>
      </c>
      <c r="D6" s="4"/>
      <c r="E6" s="4" t="s">
        <v>91</v>
      </c>
      <c r="F6" s="4"/>
      <c r="G6" s="4" t="s">
        <v>92</v>
      </c>
      <c r="H6" s="4" t="s">
        <v>93</v>
      </c>
      <c r="I6" s="4" t="s">
        <v>93</v>
      </c>
      <c r="J6" s="4" t="s">
        <v>94</v>
      </c>
      <c r="K6" s="4" t="s">
        <v>95</v>
      </c>
      <c r="L6" s="4"/>
      <c r="M6" s="4"/>
      <c r="N6" s="4"/>
      <c r="O6" s="4"/>
      <c r="P6" s="4"/>
      <c r="Q6" s="4"/>
      <c r="R6" s="4" t="s">
        <v>94</v>
      </c>
      <c r="S6" s="4" t="s">
        <v>96</v>
      </c>
      <c r="T6" s="4" t="s">
        <v>96</v>
      </c>
      <c r="U6" s="4"/>
      <c r="V6" s="4"/>
      <c r="W6" s="4"/>
      <c r="X6" s="4"/>
      <c r="Y6" s="4" t="s">
        <v>97</v>
      </c>
      <c r="Z6" s="4" t="s">
        <v>98</v>
      </c>
      <c r="AA6" s="4"/>
      <c r="AB6" s="4"/>
      <c r="AC6" s="4"/>
      <c r="AD6" s="4"/>
      <c r="AE6" s="4" t="s">
        <v>99</v>
      </c>
      <c r="AF6" s="4" t="s">
        <v>100</v>
      </c>
      <c r="AG6" s="4"/>
      <c r="AH6" s="4"/>
      <c r="AI6" s="4"/>
      <c r="AJ6" s="4"/>
    </row>
    <row r="7" spans="1:36">
      <c r="A7" s="4" t="s">
        <v>36</v>
      </c>
      <c r="B7" s="4" t="s">
        <v>90</v>
      </c>
      <c r="C7" s="4" t="s">
        <v>22</v>
      </c>
      <c r="D7" s="4"/>
      <c r="E7" s="4" t="s">
        <v>91</v>
      </c>
      <c r="F7" s="4"/>
      <c r="G7" s="4" t="s">
        <v>92</v>
      </c>
      <c r="H7" s="4" t="s">
        <v>93</v>
      </c>
      <c r="I7" s="4" t="s">
        <v>93</v>
      </c>
      <c r="J7" s="4" t="s">
        <v>94</v>
      </c>
      <c r="K7" s="4" t="s">
        <v>95</v>
      </c>
      <c r="L7" s="4"/>
      <c r="M7" s="4"/>
      <c r="N7" s="4"/>
      <c r="O7" s="4"/>
      <c r="P7" s="4"/>
      <c r="Q7" s="4"/>
      <c r="R7" s="4" t="s">
        <v>94</v>
      </c>
      <c r="S7" s="4" t="s">
        <v>96</v>
      </c>
      <c r="T7" s="4" t="s">
        <v>96</v>
      </c>
      <c r="U7" s="4"/>
      <c r="V7" s="4"/>
      <c r="W7" s="4"/>
      <c r="X7" s="4"/>
      <c r="Y7" s="4" t="s">
        <v>97</v>
      </c>
      <c r="Z7" s="4" t="s">
        <v>98</v>
      </c>
      <c r="AA7" s="4"/>
      <c r="AB7" s="4"/>
      <c r="AC7" s="4"/>
      <c r="AD7" s="4"/>
      <c r="AE7" s="4" t="s">
        <v>99</v>
      </c>
      <c r="AF7" s="4" t="s">
        <v>100</v>
      </c>
      <c r="AG7" s="4"/>
      <c r="AH7" s="4"/>
      <c r="AI7" s="4"/>
      <c r="AJ7" s="4"/>
    </row>
    <row r="8" spans="1:36">
      <c r="A8" s="4" t="s">
        <v>38</v>
      </c>
      <c r="B8" s="4" t="s">
        <v>90</v>
      </c>
      <c r="C8" s="4" t="s">
        <v>22</v>
      </c>
      <c r="D8" s="4"/>
      <c r="E8" s="4" t="s">
        <v>91</v>
      </c>
      <c r="F8" s="4"/>
      <c r="G8" s="4" t="s">
        <v>92</v>
      </c>
      <c r="H8" s="4" t="s">
        <v>93</v>
      </c>
      <c r="I8" s="4" t="s">
        <v>93</v>
      </c>
      <c r="J8" s="4" t="s">
        <v>94</v>
      </c>
      <c r="K8" s="4" t="s">
        <v>95</v>
      </c>
      <c r="L8" s="4"/>
      <c r="M8" s="4"/>
      <c r="N8" s="4"/>
      <c r="O8" s="4"/>
      <c r="P8" s="4"/>
      <c r="Q8" s="4"/>
      <c r="R8" s="4" t="s">
        <v>94</v>
      </c>
      <c r="S8" s="4" t="s">
        <v>96</v>
      </c>
      <c r="T8" s="4" t="s">
        <v>96</v>
      </c>
      <c r="U8" s="4"/>
      <c r="V8" s="4"/>
      <c r="W8" s="4"/>
      <c r="X8" s="4"/>
      <c r="Y8" s="4" t="s">
        <v>97</v>
      </c>
      <c r="Z8" s="4" t="s">
        <v>98</v>
      </c>
      <c r="AA8" s="4"/>
      <c r="AB8" s="4"/>
      <c r="AC8" s="4"/>
      <c r="AD8" s="4"/>
      <c r="AE8" s="4" t="s">
        <v>99</v>
      </c>
      <c r="AF8" s="4" t="s">
        <v>100</v>
      </c>
      <c r="AG8" s="4"/>
      <c r="AH8" s="4"/>
      <c r="AI8" s="4"/>
      <c r="AJ8" s="4"/>
    </row>
    <row r="9" spans="1:36">
      <c r="A9" s="4" t="s">
        <v>40</v>
      </c>
      <c r="B9" s="4" t="s">
        <v>90</v>
      </c>
      <c r="C9" s="4" t="s">
        <v>22</v>
      </c>
      <c r="D9" s="4"/>
      <c r="E9" s="4" t="s">
        <v>91</v>
      </c>
      <c r="F9" s="4"/>
      <c r="G9" s="4" t="s">
        <v>92</v>
      </c>
      <c r="H9" s="4" t="s">
        <v>93</v>
      </c>
      <c r="I9" s="4" t="s">
        <v>93</v>
      </c>
      <c r="J9" s="4" t="s">
        <v>94</v>
      </c>
      <c r="K9" s="4" t="s">
        <v>95</v>
      </c>
      <c r="L9" s="4"/>
      <c r="M9" s="4"/>
      <c r="N9" s="4"/>
      <c r="O9" s="4"/>
      <c r="P9" s="4"/>
      <c r="Q9" s="4"/>
      <c r="R9" s="4" t="s">
        <v>94</v>
      </c>
      <c r="S9" s="4" t="s">
        <v>96</v>
      </c>
      <c r="T9" s="4" t="s">
        <v>96</v>
      </c>
      <c r="U9" s="4"/>
      <c r="V9" s="4"/>
      <c r="W9" s="4"/>
      <c r="X9" s="4"/>
      <c r="Y9" s="4" t="s">
        <v>97</v>
      </c>
      <c r="Z9" s="4" t="s">
        <v>98</v>
      </c>
      <c r="AA9" s="4"/>
      <c r="AB9" s="4"/>
      <c r="AC9" s="4"/>
      <c r="AD9" s="4"/>
      <c r="AE9" s="4" t="s">
        <v>99</v>
      </c>
      <c r="AF9" s="4" t="s">
        <v>100</v>
      </c>
      <c r="AG9" s="4"/>
      <c r="AH9" s="4"/>
      <c r="AI9" s="4"/>
      <c r="AJ9" s="4"/>
    </row>
    <row r="10" spans="1:36">
      <c r="A10" s="4" t="s">
        <v>42</v>
      </c>
      <c r="B10" s="4" t="s">
        <v>90</v>
      </c>
      <c r="C10" s="4" t="s">
        <v>22</v>
      </c>
      <c r="D10" s="4"/>
      <c r="E10" s="4" t="s">
        <v>91</v>
      </c>
      <c r="F10" s="4"/>
      <c r="G10" s="4" t="s">
        <v>92</v>
      </c>
      <c r="H10" s="4" t="s">
        <v>93</v>
      </c>
      <c r="I10" s="4" t="s">
        <v>93</v>
      </c>
      <c r="J10" s="4" t="s">
        <v>94</v>
      </c>
      <c r="K10" s="4" t="s">
        <v>95</v>
      </c>
      <c r="L10" s="4"/>
      <c r="M10" s="4"/>
      <c r="N10" s="4"/>
      <c r="O10" s="4"/>
      <c r="P10" s="4"/>
      <c r="Q10" s="4"/>
      <c r="R10" s="4" t="s">
        <v>94</v>
      </c>
      <c r="S10" s="4" t="s">
        <v>96</v>
      </c>
      <c r="T10" s="4" t="s">
        <v>96</v>
      </c>
      <c r="U10" s="4"/>
      <c r="V10" s="4"/>
      <c r="W10" s="4"/>
      <c r="X10" s="4"/>
      <c r="Y10" s="4" t="s">
        <v>97</v>
      </c>
      <c r="Z10" s="4" t="s">
        <v>98</v>
      </c>
      <c r="AA10" s="4"/>
      <c r="AB10" s="4"/>
      <c r="AC10" s="4"/>
      <c r="AD10" s="4"/>
      <c r="AE10" s="4" t="s">
        <v>99</v>
      </c>
      <c r="AF10" s="4" t="s">
        <v>100</v>
      </c>
      <c r="AG10" s="4"/>
      <c r="AH10" s="4"/>
      <c r="AI10" s="4"/>
      <c r="AJ10" s="4"/>
    </row>
    <row r="11" spans="1:36">
      <c r="A11" s="4" t="s">
        <v>44</v>
      </c>
      <c r="B11" s="4" t="s">
        <v>90</v>
      </c>
      <c r="C11" s="4" t="s">
        <v>22</v>
      </c>
      <c r="D11" s="4"/>
      <c r="E11" s="4" t="s">
        <v>91</v>
      </c>
      <c r="F11" s="4"/>
      <c r="G11" s="4" t="s">
        <v>92</v>
      </c>
      <c r="H11" s="4" t="s">
        <v>93</v>
      </c>
      <c r="I11" s="4" t="s">
        <v>93</v>
      </c>
      <c r="J11" s="4" t="s">
        <v>94</v>
      </c>
      <c r="K11" s="4" t="s">
        <v>95</v>
      </c>
      <c r="L11" s="4"/>
      <c r="M11" s="4"/>
      <c r="N11" s="4"/>
      <c r="O11" s="4"/>
      <c r="P11" s="4"/>
      <c r="Q11" s="4"/>
      <c r="R11" s="4" t="s">
        <v>94</v>
      </c>
      <c r="S11" s="4" t="s">
        <v>96</v>
      </c>
      <c r="T11" s="4" t="s">
        <v>96</v>
      </c>
      <c r="U11" s="4"/>
      <c r="V11" s="4"/>
      <c r="W11" s="4"/>
      <c r="X11" s="4"/>
      <c r="Y11" s="4" t="s">
        <v>97</v>
      </c>
      <c r="Z11" s="4" t="s">
        <v>98</v>
      </c>
      <c r="AA11" s="4"/>
      <c r="AB11" s="4"/>
      <c r="AC11" s="4"/>
      <c r="AD11" s="4"/>
      <c r="AE11" s="4" t="s">
        <v>99</v>
      </c>
      <c r="AF11" s="4" t="s">
        <v>100</v>
      </c>
      <c r="AG11" s="4"/>
      <c r="AH11" s="4"/>
      <c r="AI11" s="4"/>
      <c r="AJ11" s="4"/>
    </row>
  </sheetData>
  <autoFilter ref="A1:AJ11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W11"/>
  <sheetViews>
    <sheetView showGridLines="0"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defaultRowHeight="15"/>
  <cols>
    <col min="1" max="2" width="34.7109375" customWidth="1"/>
    <col min="3" max="23" width="22.7109375" customWidth="1"/>
  </cols>
  <sheetData>
    <row r="1" spans="1:23">
      <c r="A1" s="1" t="s">
        <v>2</v>
      </c>
      <c r="B1" s="1" t="s">
        <v>1</v>
      </c>
      <c r="C1" s="1" t="s">
        <v>4</v>
      </c>
      <c r="D1" s="1" t="s">
        <v>7</v>
      </c>
      <c r="E1" s="1" t="s">
        <v>8</v>
      </c>
      <c r="F1" s="1" t="s">
        <v>9</v>
      </c>
      <c r="G1" s="1" t="s">
        <v>13</v>
      </c>
      <c r="H1" s="1" t="s">
        <v>101</v>
      </c>
      <c r="I1" s="1" t="s">
        <v>10</v>
      </c>
      <c r="J1" s="1" t="s">
        <v>11</v>
      </c>
      <c r="K1" s="1" t="s">
        <v>12</v>
      </c>
      <c r="L1" s="1" t="s">
        <v>102</v>
      </c>
      <c r="M1" s="1" t="s">
        <v>14</v>
      </c>
      <c r="N1" s="1" t="s">
        <v>48</v>
      </c>
      <c r="O1" s="1" t="s">
        <v>47</v>
      </c>
      <c r="P1" s="1" t="s">
        <v>17</v>
      </c>
      <c r="Q1" s="1" t="s">
        <v>103</v>
      </c>
      <c r="R1" s="1" t="s">
        <v>104</v>
      </c>
      <c r="S1" s="1" t="s">
        <v>105</v>
      </c>
      <c r="T1" s="1" t="s">
        <v>106</v>
      </c>
      <c r="U1" s="1" t="s">
        <v>107</v>
      </c>
      <c r="V1" s="1" t="s">
        <v>108</v>
      </c>
      <c r="W1" s="1" t="s">
        <v>109</v>
      </c>
    </row>
    <row r="2" spans="1:23">
      <c r="A2" s="4" t="s">
        <v>20</v>
      </c>
      <c r="B2" s="4" t="s">
        <v>20</v>
      </c>
      <c r="C2" s="4" t="s">
        <v>22</v>
      </c>
      <c r="D2" s="4" t="s">
        <v>24</v>
      </c>
      <c r="E2" s="4" t="s">
        <v>25</v>
      </c>
      <c r="F2" s="4" t="s">
        <v>26</v>
      </c>
      <c r="G2" s="4" t="s">
        <v>25</v>
      </c>
      <c r="H2" s="4" t="s">
        <v>110</v>
      </c>
      <c r="I2" s="4" t="s">
        <v>27</v>
      </c>
      <c r="J2" s="4"/>
      <c r="K2" s="4"/>
      <c r="L2" s="4"/>
      <c r="M2" s="4" t="s">
        <v>25</v>
      </c>
      <c r="N2" s="4" t="s">
        <v>54</v>
      </c>
      <c r="O2" s="4">
        <v>16000</v>
      </c>
      <c r="P2" s="4">
        <v>0.32</v>
      </c>
      <c r="Q2" s="4" t="s">
        <v>111</v>
      </c>
      <c r="R2" s="4" t="s">
        <v>112</v>
      </c>
      <c r="S2" s="4"/>
      <c r="T2" s="4" t="s">
        <v>113</v>
      </c>
      <c r="U2" s="4" t="s">
        <v>114</v>
      </c>
      <c r="V2" s="4" t="s">
        <v>115</v>
      </c>
      <c r="W2" s="4" t="s">
        <v>116</v>
      </c>
    </row>
    <row r="3" spans="1:23">
      <c r="A3" s="4" t="s">
        <v>28</v>
      </c>
      <c r="B3" s="4" t="s">
        <v>28</v>
      </c>
      <c r="C3" s="4" t="s">
        <v>22</v>
      </c>
      <c r="D3" s="4" t="s">
        <v>24</v>
      </c>
      <c r="E3" s="4" t="s">
        <v>25</v>
      </c>
      <c r="F3" s="4" t="s">
        <v>26</v>
      </c>
      <c r="G3" s="4" t="s">
        <v>25</v>
      </c>
      <c r="H3" s="4" t="s">
        <v>110</v>
      </c>
      <c r="I3" s="4" t="s">
        <v>27</v>
      </c>
      <c r="J3" s="4"/>
      <c r="K3" s="4"/>
      <c r="L3" s="4"/>
      <c r="M3" s="4" t="s">
        <v>25</v>
      </c>
      <c r="N3" s="4" t="s">
        <v>54</v>
      </c>
      <c r="O3" s="4">
        <v>16000</v>
      </c>
      <c r="P3" s="4">
        <v>0.32</v>
      </c>
      <c r="Q3" s="4" t="s">
        <v>117</v>
      </c>
      <c r="R3" s="4" t="s">
        <v>118</v>
      </c>
      <c r="S3" s="4"/>
      <c r="T3" s="4" t="s">
        <v>119</v>
      </c>
      <c r="U3" s="4" t="s">
        <v>120</v>
      </c>
      <c r="V3" s="4" t="s">
        <v>121</v>
      </c>
      <c r="W3" s="4" t="s">
        <v>122</v>
      </c>
    </row>
    <row r="4" spans="1:23">
      <c r="A4" s="4" t="s">
        <v>30</v>
      </c>
      <c r="B4" s="4" t="s">
        <v>30</v>
      </c>
      <c r="C4" s="4" t="s">
        <v>22</v>
      </c>
      <c r="D4" s="4" t="s">
        <v>24</v>
      </c>
      <c r="E4" s="4" t="s">
        <v>25</v>
      </c>
      <c r="F4" s="4" t="s">
        <v>26</v>
      </c>
      <c r="G4" s="4" t="s">
        <v>25</v>
      </c>
      <c r="H4" s="4" t="s">
        <v>110</v>
      </c>
      <c r="I4" s="4" t="s">
        <v>27</v>
      </c>
      <c r="J4" s="4"/>
      <c r="K4" s="4"/>
      <c r="L4" s="4"/>
      <c r="M4" s="4" t="s">
        <v>25</v>
      </c>
      <c r="N4" s="4" t="s">
        <v>54</v>
      </c>
      <c r="O4" s="4">
        <v>16000</v>
      </c>
      <c r="P4" s="4">
        <v>0.32</v>
      </c>
      <c r="Q4" s="4" t="s">
        <v>123</v>
      </c>
      <c r="R4" s="4" t="s">
        <v>124</v>
      </c>
      <c r="S4" s="4"/>
      <c r="T4" s="4" t="s">
        <v>125</v>
      </c>
      <c r="U4" s="4" t="s">
        <v>126</v>
      </c>
      <c r="V4" s="4" t="s">
        <v>127</v>
      </c>
      <c r="W4" s="4" t="s">
        <v>128</v>
      </c>
    </row>
    <row r="5" spans="1:23">
      <c r="A5" s="4" t="s">
        <v>32</v>
      </c>
      <c r="B5" s="4" t="s">
        <v>32</v>
      </c>
      <c r="C5" s="4" t="s">
        <v>22</v>
      </c>
      <c r="D5" s="4" t="s">
        <v>24</v>
      </c>
      <c r="E5" s="4" t="s">
        <v>25</v>
      </c>
      <c r="F5" s="4" t="s">
        <v>26</v>
      </c>
      <c r="G5" s="4" t="s">
        <v>25</v>
      </c>
      <c r="H5" s="4" t="s">
        <v>110</v>
      </c>
      <c r="I5" s="4" t="s">
        <v>27</v>
      </c>
      <c r="J5" s="4"/>
      <c r="K5" s="4"/>
      <c r="L5" s="4"/>
      <c r="M5" s="4" t="s">
        <v>25</v>
      </c>
      <c r="N5" s="4" t="s">
        <v>54</v>
      </c>
      <c r="O5" s="4">
        <v>16000</v>
      </c>
      <c r="P5" s="4">
        <v>0.32</v>
      </c>
      <c r="Q5" s="4" t="s">
        <v>129</v>
      </c>
      <c r="R5" s="4" t="s">
        <v>130</v>
      </c>
      <c r="S5" s="4"/>
      <c r="T5" s="4" t="s">
        <v>131</v>
      </c>
      <c r="U5" s="4" t="s">
        <v>132</v>
      </c>
      <c r="V5" s="4" t="s">
        <v>133</v>
      </c>
      <c r="W5" s="4" t="s">
        <v>134</v>
      </c>
    </row>
    <row r="6" spans="1:23">
      <c r="A6" s="4" t="s">
        <v>34</v>
      </c>
      <c r="B6" s="4" t="s">
        <v>34</v>
      </c>
      <c r="C6" s="4" t="s">
        <v>22</v>
      </c>
      <c r="D6" s="4" t="s">
        <v>24</v>
      </c>
      <c r="E6" s="4" t="s">
        <v>25</v>
      </c>
      <c r="F6" s="4" t="s">
        <v>26</v>
      </c>
      <c r="G6" s="4" t="s">
        <v>25</v>
      </c>
      <c r="H6" s="4" t="s">
        <v>110</v>
      </c>
      <c r="I6" s="4" t="s">
        <v>27</v>
      </c>
      <c r="J6" s="4"/>
      <c r="K6" s="4"/>
      <c r="L6" s="4"/>
      <c r="M6" s="4" t="s">
        <v>25</v>
      </c>
      <c r="N6" s="4" t="s">
        <v>54</v>
      </c>
      <c r="O6" s="4">
        <v>16000</v>
      </c>
      <c r="P6" s="4">
        <v>0.32</v>
      </c>
      <c r="Q6" s="4" t="s">
        <v>135</v>
      </c>
      <c r="R6" s="4" t="s">
        <v>136</v>
      </c>
      <c r="S6" s="4"/>
      <c r="T6" s="4" t="s">
        <v>137</v>
      </c>
      <c r="U6" s="4" t="s">
        <v>138</v>
      </c>
      <c r="V6" s="4" t="s">
        <v>139</v>
      </c>
      <c r="W6" s="4" t="s">
        <v>140</v>
      </c>
    </row>
    <row r="7" spans="1:23">
      <c r="A7" s="4" t="s">
        <v>36</v>
      </c>
      <c r="B7" s="4" t="s">
        <v>36</v>
      </c>
      <c r="C7" s="4" t="s">
        <v>22</v>
      </c>
      <c r="D7" s="4" t="s">
        <v>24</v>
      </c>
      <c r="E7" s="4" t="s">
        <v>25</v>
      </c>
      <c r="F7" s="4" t="s">
        <v>26</v>
      </c>
      <c r="G7" s="4" t="s">
        <v>25</v>
      </c>
      <c r="H7" s="4" t="s">
        <v>110</v>
      </c>
      <c r="I7" s="4" t="s">
        <v>27</v>
      </c>
      <c r="J7" s="4"/>
      <c r="K7" s="4"/>
      <c r="L7" s="4"/>
      <c r="M7" s="4" t="s">
        <v>25</v>
      </c>
      <c r="N7" s="4" t="s">
        <v>54</v>
      </c>
      <c r="O7" s="4">
        <v>16000</v>
      </c>
      <c r="P7" s="4">
        <v>0.32</v>
      </c>
      <c r="Q7" s="4" t="s">
        <v>141</v>
      </c>
      <c r="R7" s="4" t="s">
        <v>142</v>
      </c>
      <c r="S7" s="4"/>
      <c r="T7" s="4" t="s">
        <v>143</v>
      </c>
      <c r="U7" s="4" t="s">
        <v>144</v>
      </c>
      <c r="V7" s="4" t="s">
        <v>145</v>
      </c>
      <c r="W7" s="4" t="s">
        <v>146</v>
      </c>
    </row>
    <row r="8" spans="1:23">
      <c r="A8" s="4" t="s">
        <v>38</v>
      </c>
      <c r="B8" s="4" t="s">
        <v>38</v>
      </c>
      <c r="C8" s="4" t="s">
        <v>22</v>
      </c>
      <c r="D8" s="4" t="s">
        <v>24</v>
      </c>
      <c r="E8" s="4" t="s">
        <v>25</v>
      </c>
      <c r="F8" s="4" t="s">
        <v>26</v>
      </c>
      <c r="G8" s="4" t="s">
        <v>25</v>
      </c>
      <c r="H8" s="4" t="s">
        <v>110</v>
      </c>
      <c r="I8" s="4" t="s">
        <v>27</v>
      </c>
      <c r="J8" s="4"/>
      <c r="K8" s="4"/>
      <c r="L8" s="4"/>
      <c r="M8" s="4" t="s">
        <v>25</v>
      </c>
      <c r="N8" s="4" t="s">
        <v>54</v>
      </c>
      <c r="O8" s="4">
        <v>16000</v>
      </c>
      <c r="P8" s="4">
        <v>0.32</v>
      </c>
      <c r="Q8" s="4" t="s">
        <v>147</v>
      </c>
      <c r="R8" s="4" t="s">
        <v>148</v>
      </c>
      <c r="S8" s="4"/>
      <c r="T8" s="4" t="s">
        <v>149</v>
      </c>
      <c r="U8" s="4" t="s">
        <v>150</v>
      </c>
      <c r="V8" s="4" t="s">
        <v>151</v>
      </c>
      <c r="W8" s="4" t="s">
        <v>152</v>
      </c>
    </row>
    <row r="9" spans="1:23">
      <c r="A9" s="4" t="s">
        <v>40</v>
      </c>
      <c r="B9" s="4" t="s">
        <v>40</v>
      </c>
      <c r="C9" s="4" t="s">
        <v>22</v>
      </c>
      <c r="D9" s="4" t="s">
        <v>24</v>
      </c>
      <c r="E9" s="4" t="s">
        <v>25</v>
      </c>
      <c r="F9" s="4" t="s">
        <v>26</v>
      </c>
      <c r="G9" s="4" t="s">
        <v>25</v>
      </c>
      <c r="H9" s="4" t="s">
        <v>110</v>
      </c>
      <c r="I9" s="4" t="s">
        <v>27</v>
      </c>
      <c r="J9" s="4"/>
      <c r="K9" s="4"/>
      <c r="L9" s="4"/>
      <c r="M9" s="4" t="s">
        <v>25</v>
      </c>
      <c r="N9" s="4" t="s">
        <v>54</v>
      </c>
      <c r="O9" s="4">
        <v>16000</v>
      </c>
      <c r="P9" s="4">
        <v>0.32</v>
      </c>
      <c r="Q9" s="4" t="s">
        <v>153</v>
      </c>
      <c r="R9" s="4" t="s">
        <v>154</v>
      </c>
      <c r="S9" s="4"/>
      <c r="T9" s="4" t="s">
        <v>155</v>
      </c>
      <c r="U9" s="4" t="s">
        <v>156</v>
      </c>
      <c r="V9" s="4" t="s">
        <v>157</v>
      </c>
      <c r="W9" s="4" t="s">
        <v>158</v>
      </c>
    </row>
    <row r="10" spans="1:23">
      <c r="A10" s="4" t="s">
        <v>42</v>
      </c>
      <c r="B10" s="4" t="s">
        <v>42</v>
      </c>
      <c r="C10" s="4" t="s">
        <v>22</v>
      </c>
      <c r="D10" s="4" t="s">
        <v>24</v>
      </c>
      <c r="E10" s="4" t="s">
        <v>25</v>
      </c>
      <c r="F10" s="4" t="s">
        <v>26</v>
      </c>
      <c r="G10" s="4" t="s">
        <v>25</v>
      </c>
      <c r="H10" s="4" t="s">
        <v>110</v>
      </c>
      <c r="I10" s="4" t="s">
        <v>27</v>
      </c>
      <c r="J10" s="4"/>
      <c r="K10" s="4"/>
      <c r="L10" s="4"/>
      <c r="M10" s="4" t="s">
        <v>25</v>
      </c>
      <c r="N10" s="4" t="s">
        <v>54</v>
      </c>
      <c r="O10" s="4">
        <v>16000</v>
      </c>
      <c r="P10" s="4">
        <v>0.32</v>
      </c>
      <c r="Q10" s="4" t="s">
        <v>159</v>
      </c>
      <c r="R10" s="4" t="s">
        <v>160</v>
      </c>
      <c r="S10" s="4"/>
      <c r="T10" s="4" t="s">
        <v>161</v>
      </c>
      <c r="U10" s="4" t="s">
        <v>162</v>
      </c>
      <c r="V10" s="4" t="s">
        <v>163</v>
      </c>
      <c r="W10" s="4" t="s">
        <v>164</v>
      </c>
    </row>
    <row r="11" spans="1:23">
      <c r="A11" s="4" t="s">
        <v>44</v>
      </c>
      <c r="B11" s="4" t="s">
        <v>44</v>
      </c>
      <c r="C11" s="4" t="s">
        <v>22</v>
      </c>
      <c r="D11" s="4" t="s">
        <v>24</v>
      </c>
      <c r="E11" s="4" t="s">
        <v>25</v>
      </c>
      <c r="F11" s="4" t="s">
        <v>26</v>
      </c>
      <c r="G11" s="4" t="s">
        <v>25</v>
      </c>
      <c r="H11" s="4" t="s">
        <v>110</v>
      </c>
      <c r="I11" s="4" t="s">
        <v>27</v>
      </c>
      <c r="J11" s="4"/>
      <c r="K11" s="4"/>
      <c r="L11" s="4"/>
      <c r="M11" s="4" t="s">
        <v>25</v>
      </c>
      <c r="N11" s="4" t="s">
        <v>54</v>
      </c>
      <c r="O11" s="4">
        <v>16000</v>
      </c>
      <c r="P11" s="4">
        <v>0.32</v>
      </c>
      <c r="Q11" s="4" t="s">
        <v>165</v>
      </c>
      <c r="R11" s="4" t="s">
        <v>166</v>
      </c>
      <c r="S11" s="4"/>
      <c r="T11" s="4" t="s">
        <v>167</v>
      </c>
      <c r="U11" s="4" t="s">
        <v>168</v>
      </c>
      <c r="V11" s="4" t="s">
        <v>169</v>
      </c>
      <c r="W11" s="4" t="s">
        <v>170</v>
      </c>
    </row>
  </sheetData>
  <autoFilter ref="A1:W11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O11"/>
  <sheetViews>
    <sheetView showGridLines="0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34.7109375" customWidth="1"/>
    <col min="2" max="15" width="30.7109375" customWidth="1"/>
  </cols>
  <sheetData>
    <row r="1" spans="1:15" ht="30" customHeight="1">
      <c r="A1" s="1" t="s">
        <v>1</v>
      </c>
      <c r="B1" s="1" t="s">
        <v>171</v>
      </c>
      <c r="C1" s="1" t="s">
        <v>172</v>
      </c>
      <c r="D1" s="1" t="s">
        <v>173</v>
      </c>
      <c r="E1" s="1" t="s">
        <v>104</v>
      </c>
      <c r="F1" s="1" t="s">
        <v>105</v>
      </c>
      <c r="G1" s="1" t="s">
        <v>103</v>
      </c>
      <c r="H1" s="1" t="s">
        <v>174</v>
      </c>
      <c r="I1" s="1" t="s">
        <v>175</v>
      </c>
      <c r="J1" s="1" t="s">
        <v>176</v>
      </c>
      <c r="K1" s="1" t="s">
        <v>108</v>
      </c>
      <c r="L1" s="1" t="s">
        <v>177</v>
      </c>
      <c r="M1" s="1" t="s">
        <v>109</v>
      </c>
      <c r="N1" s="1" t="s">
        <v>178</v>
      </c>
      <c r="O1" s="1" t="s">
        <v>179</v>
      </c>
    </row>
    <row r="2" spans="1:15" ht="48" customHeight="1">
      <c r="A2" s="4" t="s">
        <v>20</v>
      </c>
      <c r="B2" s="4" t="s">
        <v>180</v>
      </c>
      <c r="C2" s="4" t="s">
        <v>181</v>
      </c>
      <c r="D2" s="4"/>
      <c r="E2" s="4" t="s">
        <v>112</v>
      </c>
      <c r="F2" s="4"/>
      <c r="G2" s="4" t="s">
        <v>111</v>
      </c>
      <c r="H2" s="4" t="s">
        <v>182</v>
      </c>
      <c r="I2" s="4"/>
      <c r="J2" s="4" t="s">
        <v>183</v>
      </c>
      <c r="K2" s="4" t="s">
        <v>115</v>
      </c>
      <c r="L2" s="4" t="s">
        <v>184</v>
      </c>
      <c r="M2" s="4" t="s">
        <v>116</v>
      </c>
      <c r="N2" s="4" t="s">
        <v>185</v>
      </c>
      <c r="O2" s="4" t="s">
        <v>186</v>
      </c>
    </row>
    <row r="3" spans="1:15" ht="48" customHeight="1">
      <c r="A3" s="4" t="s">
        <v>28</v>
      </c>
      <c r="B3" s="4" t="s">
        <v>187</v>
      </c>
      <c r="C3" s="4" t="s">
        <v>188</v>
      </c>
      <c r="D3" s="4"/>
      <c r="E3" s="4" t="s">
        <v>118</v>
      </c>
      <c r="F3" s="4"/>
      <c r="G3" s="4" t="s">
        <v>117</v>
      </c>
      <c r="H3" s="4" t="s">
        <v>189</v>
      </c>
      <c r="I3" s="4"/>
      <c r="J3" s="4" t="s">
        <v>190</v>
      </c>
      <c r="K3" s="4" t="s">
        <v>121</v>
      </c>
      <c r="L3" s="4" t="s">
        <v>191</v>
      </c>
      <c r="M3" s="4" t="s">
        <v>122</v>
      </c>
      <c r="N3" s="4" t="s">
        <v>192</v>
      </c>
      <c r="O3" s="4" t="s">
        <v>186</v>
      </c>
    </row>
    <row r="4" spans="1:15" ht="48" customHeight="1">
      <c r="A4" s="4" t="s">
        <v>30</v>
      </c>
      <c r="B4" s="4" t="s">
        <v>193</v>
      </c>
      <c r="C4" s="4" t="s">
        <v>194</v>
      </c>
      <c r="D4" s="4"/>
      <c r="E4" s="4" t="s">
        <v>124</v>
      </c>
      <c r="F4" s="4"/>
      <c r="G4" s="4" t="s">
        <v>123</v>
      </c>
      <c r="H4" s="4" t="s">
        <v>195</v>
      </c>
      <c r="I4" s="4"/>
      <c r="J4" s="4" t="s">
        <v>196</v>
      </c>
      <c r="K4" s="4" t="s">
        <v>127</v>
      </c>
      <c r="L4" s="4" t="s">
        <v>197</v>
      </c>
      <c r="M4" s="4" t="s">
        <v>128</v>
      </c>
      <c r="N4" s="4" t="s">
        <v>198</v>
      </c>
      <c r="O4" s="4" t="s">
        <v>186</v>
      </c>
    </row>
    <row r="5" spans="1:15" ht="48" customHeight="1">
      <c r="A5" s="4" t="s">
        <v>32</v>
      </c>
      <c r="B5" s="4" t="s">
        <v>199</v>
      </c>
      <c r="C5" s="4" t="s">
        <v>200</v>
      </c>
      <c r="D5" s="4"/>
      <c r="E5" s="4" t="s">
        <v>130</v>
      </c>
      <c r="F5" s="4"/>
      <c r="G5" s="4" t="s">
        <v>129</v>
      </c>
      <c r="H5" s="4" t="s">
        <v>201</v>
      </c>
      <c r="I5" s="4"/>
      <c r="J5" s="4" t="s">
        <v>202</v>
      </c>
      <c r="K5" s="4" t="s">
        <v>133</v>
      </c>
      <c r="L5" s="4" t="s">
        <v>203</v>
      </c>
      <c r="M5" s="4" t="s">
        <v>134</v>
      </c>
      <c r="N5" s="4" t="s">
        <v>204</v>
      </c>
      <c r="O5" s="4" t="s">
        <v>186</v>
      </c>
    </row>
    <row r="6" spans="1:15" ht="48" customHeight="1">
      <c r="A6" s="4" t="s">
        <v>34</v>
      </c>
      <c r="B6" s="4" t="s">
        <v>205</v>
      </c>
      <c r="C6" s="4" t="s">
        <v>206</v>
      </c>
      <c r="D6" s="4"/>
      <c r="E6" s="4" t="s">
        <v>136</v>
      </c>
      <c r="F6" s="4"/>
      <c r="G6" s="4" t="s">
        <v>135</v>
      </c>
      <c r="H6" s="4" t="s">
        <v>207</v>
      </c>
      <c r="I6" s="4"/>
      <c r="J6" s="4" t="s">
        <v>208</v>
      </c>
      <c r="K6" s="4" t="s">
        <v>139</v>
      </c>
      <c r="L6" s="4" t="s">
        <v>209</v>
      </c>
      <c r="M6" s="4" t="s">
        <v>140</v>
      </c>
      <c r="N6" s="4" t="s">
        <v>210</v>
      </c>
      <c r="O6" s="4" t="s">
        <v>186</v>
      </c>
    </row>
    <row r="7" spans="1:15" ht="48" customHeight="1">
      <c r="A7" s="4" t="s">
        <v>36</v>
      </c>
      <c r="B7" s="4" t="s">
        <v>211</v>
      </c>
      <c r="C7" s="4" t="s">
        <v>212</v>
      </c>
      <c r="D7" s="4"/>
      <c r="E7" s="4" t="s">
        <v>142</v>
      </c>
      <c r="F7" s="4"/>
      <c r="G7" s="4" t="s">
        <v>141</v>
      </c>
      <c r="H7" s="4" t="s">
        <v>213</v>
      </c>
      <c r="I7" s="4"/>
      <c r="J7" s="4" t="s">
        <v>214</v>
      </c>
      <c r="K7" s="4" t="s">
        <v>145</v>
      </c>
      <c r="L7" s="4" t="s">
        <v>215</v>
      </c>
      <c r="M7" s="4" t="s">
        <v>146</v>
      </c>
      <c r="N7" s="4" t="s">
        <v>216</v>
      </c>
      <c r="O7" s="4" t="s">
        <v>186</v>
      </c>
    </row>
    <row r="8" spans="1:15" ht="48" customHeight="1">
      <c r="A8" s="4" t="s">
        <v>38</v>
      </c>
      <c r="B8" s="4" t="s">
        <v>217</v>
      </c>
      <c r="C8" s="4" t="s">
        <v>218</v>
      </c>
      <c r="D8" s="4"/>
      <c r="E8" s="4" t="s">
        <v>148</v>
      </c>
      <c r="F8" s="4"/>
      <c r="G8" s="4" t="s">
        <v>147</v>
      </c>
      <c r="H8" s="4" t="s">
        <v>219</v>
      </c>
      <c r="I8" s="4"/>
      <c r="J8" s="4" t="s">
        <v>220</v>
      </c>
      <c r="K8" s="4" t="s">
        <v>151</v>
      </c>
      <c r="L8" s="4" t="s">
        <v>221</v>
      </c>
      <c r="M8" s="4" t="s">
        <v>152</v>
      </c>
      <c r="N8" s="4" t="s">
        <v>222</v>
      </c>
      <c r="O8" s="4" t="s">
        <v>186</v>
      </c>
    </row>
    <row r="9" spans="1:15" ht="48" customHeight="1">
      <c r="A9" s="4" t="s">
        <v>40</v>
      </c>
      <c r="B9" s="4" t="s">
        <v>223</v>
      </c>
      <c r="C9" s="4" t="s">
        <v>224</v>
      </c>
      <c r="D9" s="4"/>
      <c r="E9" s="4" t="s">
        <v>154</v>
      </c>
      <c r="F9" s="4"/>
      <c r="G9" s="4" t="s">
        <v>153</v>
      </c>
      <c r="H9" s="4" t="s">
        <v>225</v>
      </c>
      <c r="I9" s="4"/>
      <c r="J9" s="4" t="s">
        <v>226</v>
      </c>
      <c r="K9" s="4" t="s">
        <v>157</v>
      </c>
      <c r="L9" s="4" t="s">
        <v>227</v>
      </c>
      <c r="M9" s="4" t="s">
        <v>158</v>
      </c>
      <c r="N9" s="4" t="s">
        <v>228</v>
      </c>
      <c r="O9" s="4" t="s">
        <v>186</v>
      </c>
    </row>
    <row r="10" spans="1:15" ht="48" customHeight="1">
      <c r="A10" s="4" t="s">
        <v>42</v>
      </c>
      <c r="B10" s="4" t="s">
        <v>229</v>
      </c>
      <c r="C10" s="4" t="s">
        <v>230</v>
      </c>
      <c r="D10" s="4"/>
      <c r="E10" s="4" t="s">
        <v>160</v>
      </c>
      <c r="F10" s="4"/>
      <c r="G10" s="4" t="s">
        <v>159</v>
      </c>
      <c r="H10" s="4" t="s">
        <v>231</v>
      </c>
      <c r="I10" s="4"/>
      <c r="J10" s="4" t="s">
        <v>232</v>
      </c>
      <c r="K10" s="4" t="s">
        <v>163</v>
      </c>
      <c r="L10" s="4" t="s">
        <v>233</v>
      </c>
      <c r="M10" s="4" t="s">
        <v>164</v>
      </c>
      <c r="N10" s="4" t="s">
        <v>234</v>
      </c>
      <c r="O10" s="4" t="s">
        <v>186</v>
      </c>
    </row>
    <row r="11" spans="1:15" ht="48" customHeight="1">
      <c r="A11" s="4" t="s">
        <v>44</v>
      </c>
      <c r="B11" s="4" t="s">
        <v>235</v>
      </c>
      <c r="C11" s="4" t="s">
        <v>236</v>
      </c>
      <c r="D11" s="4"/>
      <c r="E11" s="4" t="s">
        <v>166</v>
      </c>
      <c r="F11" s="4"/>
      <c r="G11" s="4" t="s">
        <v>165</v>
      </c>
      <c r="H11" s="4" t="s">
        <v>237</v>
      </c>
      <c r="I11" s="4"/>
      <c r="J11" s="4" t="s">
        <v>238</v>
      </c>
      <c r="K11" s="4" t="s">
        <v>169</v>
      </c>
      <c r="L11" s="4" t="s">
        <v>239</v>
      </c>
      <c r="M11" s="4" t="s">
        <v>170</v>
      </c>
      <c r="N11" s="4" t="s">
        <v>240</v>
      </c>
      <c r="O11" s="4" t="s">
        <v>186</v>
      </c>
    </row>
  </sheetData>
  <autoFilter ref="A1:O11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8"/>
  <sheetViews>
    <sheetView showGridLines="0" workbookViewId="0"/>
  </sheetViews>
  <sheetFormatPr defaultRowHeight="15"/>
  <cols>
    <col min="1" max="1" width="28.7109375" customWidth="1"/>
    <col min="2" max="2" width="18.7109375" customWidth="1"/>
  </cols>
  <sheetData>
    <row r="1" spans="1:2">
      <c r="A1" s="5" t="s">
        <v>241</v>
      </c>
    </row>
    <row r="3" spans="1:2">
      <c r="A3" t="s">
        <v>242</v>
      </c>
      <c r="B3">
        <f>COUNTA('标签'!A2:A11)</f>
        <v>10</v>
      </c>
    </row>
    <row r="4" spans="1:2">
      <c r="A4" t="s">
        <v>243</v>
      </c>
      <c r="B4">
        <f>COUNTIF('标签'!I2:I11,"是")</f>
        <v>10</v>
      </c>
    </row>
    <row r="5" spans="1:2">
      <c r="A5" t="s">
        <v>244</v>
      </c>
      <c r="B5">
        <f>COUNTIF('标签'!H2:H11,"train")</f>
        <v>10</v>
      </c>
    </row>
    <row r="6" spans="1:2">
      <c r="A6" t="s">
        <v>245</v>
      </c>
      <c r="B6">
        <v>10</v>
      </c>
    </row>
    <row r="7" spans="1:2">
      <c r="A7" s="5" t="s">
        <v>179</v>
      </c>
    </row>
    <row r="8" spans="1:2" ht="120" customHeight="1">
      <c r="A8" s="6" t="s">
        <v>246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85"/>
  <sheetViews>
    <sheetView showGridLines="0" workbookViewId="0">
      <pane ySplit="1" topLeftCell="A2" activePane="bottomLeft" state="frozen"/>
      <selection pane="bottomLeft"/>
    </sheetView>
  </sheetViews>
  <sheetFormatPr defaultRowHeight="15"/>
  <cols>
    <col min="1" max="1" width="28.7109375" customWidth="1"/>
    <col min="2" max="2" width="24.7109375" customWidth="1"/>
    <col min="3" max="3" width="60.7109375" customWidth="1"/>
  </cols>
  <sheetData>
    <row r="1" spans="1:3">
      <c r="A1" s="1" t="s">
        <v>247</v>
      </c>
      <c r="B1" s="1" t="s">
        <v>248</v>
      </c>
      <c r="C1" s="1" t="s">
        <v>249</v>
      </c>
    </row>
    <row r="2" spans="1:3">
      <c r="A2" t="s">
        <v>250</v>
      </c>
      <c r="B2" t="s">
        <v>0</v>
      </c>
      <c r="C2" t="s">
        <v>251</v>
      </c>
    </row>
    <row r="3" spans="1:3">
      <c r="A3" t="s">
        <v>252</v>
      </c>
      <c r="B3" t="s">
        <v>1</v>
      </c>
      <c r="C3" t="s">
        <v>253</v>
      </c>
    </row>
    <row r="4" spans="1:3">
      <c r="A4" t="s">
        <v>254</v>
      </c>
      <c r="B4" t="s">
        <v>2</v>
      </c>
      <c r="C4" t="s">
        <v>255</v>
      </c>
    </row>
    <row r="5" spans="1:3">
      <c r="A5" t="s">
        <v>256</v>
      </c>
      <c r="B5" t="s">
        <v>3</v>
      </c>
      <c r="C5" t="s">
        <v>257</v>
      </c>
    </row>
    <row r="6" spans="1:3">
      <c r="A6" t="s">
        <v>258</v>
      </c>
      <c r="B6" t="s">
        <v>4</v>
      </c>
      <c r="C6" t="s">
        <v>259</v>
      </c>
    </row>
    <row r="7" spans="1:3">
      <c r="A7" t="s">
        <v>260</v>
      </c>
      <c r="B7" t="s">
        <v>56</v>
      </c>
      <c r="C7" t="s">
        <v>261</v>
      </c>
    </row>
    <row r="8" spans="1:3">
      <c r="A8" t="s">
        <v>262</v>
      </c>
      <c r="B8" t="s">
        <v>55</v>
      </c>
      <c r="C8" t="s">
        <v>263</v>
      </c>
    </row>
    <row r="9" spans="1:3">
      <c r="A9" t="s">
        <v>264</v>
      </c>
      <c r="B9" t="s">
        <v>5</v>
      </c>
      <c r="C9" t="s">
        <v>265</v>
      </c>
    </row>
    <row r="10" spans="1:3">
      <c r="A10" t="s">
        <v>266</v>
      </c>
      <c r="B10" t="s">
        <v>6</v>
      </c>
      <c r="C10" t="s">
        <v>267</v>
      </c>
    </row>
    <row r="11" spans="1:3">
      <c r="A11" t="s">
        <v>268</v>
      </c>
      <c r="B11" t="s">
        <v>7</v>
      </c>
      <c r="C11" t="s">
        <v>269</v>
      </c>
    </row>
    <row r="12" spans="1:3">
      <c r="A12" t="s">
        <v>270</v>
      </c>
      <c r="B12" t="s">
        <v>8</v>
      </c>
      <c r="C12" t="s">
        <v>271</v>
      </c>
    </row>
    <row r="13" spans="1:3">
      <c r="A13" t="s">
        <v>272</v>
      </c>
      <c r="B13" t="s">
        <v>9</v>
      </c>
      <c r="C13" t="s">
        <v>273</v>
      </c>
    </row>
    <row r="14" spans="1:3">
      <c r="A14" t="s">
        <v>274</v>
      </c>
      <c r="B14" t="s">
        <v>101</v>
      </c>
      <c r="C14" t="s">
        <v>275</v>
      </c>
    </row>
    <row r="15" spans="1:3">
      <c r="A15" t="s">
        <v>276</v>
      </c>
      <c r="B15" t="s">
        <v>10</v>
      </c>
      <c r="C15" t="s">
        <v>277</v>
      </c>
    </row>
    <row r="16" spans="1:3">
      <c r="A16" t="s">
        <v>278</v>
      </c>
      <c r="B16" t="s">
        <v>11</v>
      </c>
      <c r="C16" t="s">
        <v>279</v>
      </c>
    </row>
    <row r="17" spans="1:3">
      <c r="A17" t="s">
        <v>280</v>
      </c>
      <c r="B17" t="s">
        <v>12</v>
      </c>
      <c r="C17" t="s">
        <v>281</v>
      </c>
    </row>
    <row r="18" spans="1:3">
      <c r="A18" t="s">
        <v>282</v>
      </c>
      <c r="B18" t="s">
        <v>283</v>
      </c>
      <c r="C18" t="s">
        <v>284</v>
      </c>
    </row>
    <row r="19" spans="1:3">
      <c r="A19" t="s">
        <v>285</v>
      </c>
      <c r="B19" t="s">
        <v>102</v>
      </c>
      <c r="C19" t="s">
        <v>286</v>
      </c>
    </row>
    <row r="20" spans="1:3">
      <c r="A20" t="s">
        <v>287</v>
      </c>
      <c r="B20" t="s">
        <v>13</v>
      </c>
      <c r="C20" t="s">
        <v>288</v>
      </c>
    </row>
    <row r="21" spans="1:3">
      <c r="A21" t="s">
        <v>289</v>
      </c>
      <c r="B21" t="s">
        <v>46</v>
      </c>
      <c r="C21" t="s">
        <v>290</v>
      </c>
    </row>
    <row r="22" spans="1:3">
      <c r="A22" t="s">
        <v>291</v>
      </c>
      <c r="B22" t="s">
        <v>14</v>
      </c>
      <c r="C22" t="s">
        <v>292</v>
      </c>
    </row>
    <row r="23" spans="1:3">
      <c r="A23" t="s">
        <v>293</v>
      </c>
      <c r="B23" t="s">
        <v>15</v>
      </c>
      <c r="C23" t="s">
        <v>294</v>
      </c>
    </row>
    <row r="24" spans="1:3">
      <c r="A24" t="s">
        <v>295</v>
      </c>
      <c r="B24" t="s">
        <v>296</v>
      </c>
      <c r="C24" t="s">
        <v>297</v>
      </c>
    </row>
    <row r="25" spans="1:3">
      <c r="A25" t="s">
        <v>298</v>
      </c>
      <c r="B25" t="s">
        <v>299</v>
      </c>
      <c r="C25" t="s">
        <v>300</v>
      </c>
    </row>
    <row r="26" spans="1:3">
      <c r="A26" t="s">
        <v>301</v>
      </c>
      <c r="B26" t="s">
        <v>16</v>
      </c>
      <c r="C26" t="s">
        <v>302</v>
      </c>
    </row>
    <row r="27" spans="1:3">
      <c r="A27" t="s">
        <v>303</v>
      </c>
      <c r="B27" t="s">
        <v>171</v>
      </c>
      <c r="C27" t="s">
        <v>304</v>
      </c>
    </row>
    <row r="28" spans="1:3">
      <c r="A28" t="s">
        <v>305</v>
      </c>
      <c r="B28" t="s">
        <v>172</v>
      </c>
      <c r="C28" t="s">
        <v>306</v>
      </c>
    </row>
    <row r="29" spans="1:3">
      <c r="A29" t="s">
        <v>307</v>
      </c>
      <c r="B29" t="s">
        <v>106</v>
      </c>
      <c r="C29" t="s">
        <v>308</v>
      </c>
    </row>
    <row r="30" spans="1:3">
      <c r="A30" t="s">
        <v>309</v>
      </c>
      <c r="B30" t="s">
        <v>107</v>
      </c>
      <c r="C30" t="s">
        <v>310</v>
      </c>
    </row>
    <row r="31" spans="1:3">
      <c r="A31" t="s">
        <v>311</v>
      </c>
      <c r="B31" t="s">
        <v>17</v>
      </c>
      <c r="C31" t="s">
        <v>312</v>
      </c>
    </row>
    <row r="32" spans="1:3">
      <c r="A32" t="s">
        <v>313</v>
      </c>
      <c r="B32" t="s">
        <v>47</v>
      </c>
      <c r="C32" t="s">
        <v>314</v>
      </c>
    </row>
    <row r="33" spans="1:3">
      <c r="A33" t="s">
        <v>315</v>
      </c>
      <c r="B33" t="s">
        <v>48</v>
      </c>
      <c r="C33" t="s">
        <v>316</v>
      </c>
    </row>
    <row r="34" spans="1:3">
      <c r="A34" t="s">
        <v>317</v>
      </c>
      <c r="B34" t="s">
        <v>49</v>
      </c>
      <c r="C34" t="s">
        <v>318</v>
      </c>
    </row>
    <row r="35" spans="1:3">
      <c r="A35" t="s">
        <v>319</v>
      </c>
      <c r="B35" t="s">
        <v>50</v>
      </c>
      <c r="C35" t="s">
        <v>320</v>
      </c>
    </row>
    <row r="36" spans="1:3">
      <c r="A36" t="s">
        <v>321</v>
      </c>
      <c r="B36" t="s">
        <v>51</v>
      </c>
      <c r="C36" t="s">
        <v>322</v>
      </c>
    </row>
    <row r="37" spans="1:3">
      <c r="A37" t="s">
        <v>323</v>
      </c>
      <c r="B37" t="s">
        <v>52</v>
      </c>
      <c r="C37" t="s">
        <v>324</v>
      </c>
    </row>
    <row r="38" spans="1:3">
      <c r="A38" t="s">
        <v>325</v>
      </c>
      <c r="B38" t="s">
        <v>57</v>
      </c>
      <c r="C38" t="s">
        <v>326</v>
      </c>
    </row>
    <row r="39" spans="1:3">
      <c r="A39" t="s">
        <v>327</v>
      </c>
      <c r="B39" t="s">
        <v>58</v>
      </c>
      <c r="C39" t="s">
        <v>328</v>
      </c>
    </row>
    <row r="40" spans="1:3">
      <c r="A40" t="s">
        <v>329</v>
      </c>
      <c r="B40" t="s">
        <v>59</v>
      </c>
      <c r="C40" t="s">
        <v>330</v>
      </c>
    </row>
    <row r="41" spans="1:3">
      <c r="A41" t="s">
        <v>331</v>
      </c>
      <c r="B41" t="s">
        <v>60</v>
      </c>
      <c r="C41" t="s">
        <v>332</v>
      </c>
    </row>
    <row r="42" spans="1:3">
      <c r="A42" t="s">
        <v>333</v>
      </c>
      <c r="B42" t="s">
        <v>61</v>
      </c>
      <c r="C42" t="s">
        <v>334</v>
      </c>
    </row>
    <row r="43" spans="1:3">
      <c r="A43" t="s">
        <v>335</v>
      </c>
      <c r="B43" t="s">
        <v>62</v>
      </c>
      <c r="C43" t="s">
        <v>336</v>
      </c>
    </row>
    <row r="44" spans="1:3">
      <c r="A44" t="s">
        <v>337</v>
      </c>
      <c r="B44" t="s">
        <v>63</v>
      </c>
      <c r="C44" t="s">
        <v>338</v>
      </c>
    </row>
    <row r="45" spans="1:3">
      <c r="A45" t="s">
        <v>339</v>
      </c>
      <c r="B45" t="s">
        <v>64</v>
      </c>
      <c r="C45" t="s">
        <v>340</v>
      </c>
    </row>
    <row r="46" spans="1:3">
      <c r="A46" t="s">
        <v>341</v>
      </c>
      <c r="B46" t="s">
        <v>65</v>
      </c>
      <c r="C46" t="s">
        <v>342</v>
      </c>
    </row>
    <row r="47" spans="1:3">
      <c r="A47" t="s">
        <v>343</v>
      </c>
      <c r="B47" t="s">
        <v>66</v>
      </c>
      <c r="C47" t="s">
        <v>344</v>
      </c>
    </row>
    <row r="48" spans="1:3">
      <c r="A48" t="s">
        <v>345</v>
      </c>
      <c r="B48" t="s">
        <v>67</v>
      </c>
      <c r="C48" t="s">
        <v>346</v>
      </c>
    </row>
    <row r="49" spans="1:3">
      <c r="A49" t="s">
        <v>347</v>
      </c>
      <c r="B49" t="s">
        <v>68</v>
      </c>
      <c r="C49" t="s">
        <v>348</v>
      </c>
    </row>
    <row r="50" spans="1:3">
      <c r="A50" t="s">
        <v>349</v>
      </c>
      <c r="B50" t="s">
        <v>69</v>
      </c>
      <c r="C50" t="s">
        <v>350</v>
      </c>
    </row>
    <row r="51" spans="1:3">
      <c r="A51" t="s">
        <v>351</v>
      </c>
      <c r="B51" t="s">
        <v>70</v>
      </c>
      <c r="C51" t="s">
        <v>352</v>
      </c>
    </row>
    <row r="52" spans="1:3">
      <c r="A52" t="s">
        <v>353</v>
      </c>
      <c r="B52" t="s">
        <v>71</v>
      </c>
      <c r="C52" t="s">
        <v>354</v>
      </c>
    </row>
    <row r="53" spans="1:3">
      <c r="A53" t="s">
        <v>355</v>
      </c>
      <c r="B53" t="s">
        <v>72</v>
      </c>
      <c r="C53" t="s">
        <v>356</v>
      </c>
    </row>
    <row r="54" spans="1:3">
      <c r="A54" t="s">
        <v>357</v>
      </c>
      <c r="B54" t="s">
        <v>73</v>
      </c>
      <c r="C54" t="s">
        <v>358</v>
      </c>
    </row>
    <row r="55" spans="1:3">
      <c r="A55" t="s">
        <v>359</v>
      </c>
      <c r="B55" t="s">
        <v>74</v>
      </c>
      <c r="C55" t="s">
        <v>360</v>
      </c>
    </row>
    <row r="56" spans="1:3">
      <c r="A56" t="s">
        <v>361</v>
      </c>
      <c r="B56" t="s">
        <v>75</v>
      </c>
      <c r="C56" t="s">
        <v>362</v>
      </c>
    </row>
    <row r="57" spans="1:3">
      <c r="A57" t="s">
        <v>363</v>
      </c>
      <c r="B57" t="s">
        <v>76</v>
      </c>
      <c r="C57" t="s">
        <v>364</v>
      </c>
    </row>
    <row r="58" spans="1:3">
      <c r="A58" t="s">
        <v>365</v>
      </c>
      <c r="B58" t="s">
        <v>77</v>
      </c>
      <c r="C58" t="s">
        <v>366</v>
      </c>
    </row>
    <row r="59" spans="1:3">
      <c r="A59" t="s">
        <v>367</v>
      </c>
      <c r="B59" t="s">
        <v>78</v>
      </c>
      <c r="C59" t="s">
        <v>368</v>
      </c>
    </row>
    <row r="60" spans="1:3">
      <c r="A60" t="s">
        <v>369</v>
      </c>
      <c r="B60" t="s">
        <v>79</v>
      </c>
      <c r="C60" t="s">
        <v>370</v>
      </c>
    </row>
    <row r="61" spans="1:3">
      <c r="A61" t="s">
        <v>371</v>
      </c>
      <c r="B61" t="s">
        <v>80</v>
      </c>
      <c r="C61" t="s">
        <v>372</v>
      </c>
    </row>
    <row r="62" spans="1:3">
      <c r="A62" t="s">
        <v>373</v>
      </c>
      <c r="B62" t="s">
        <v>81</v>
      </c>
      <c r="C62" t="s">
        <v>374</v>
      </c>
    </row>
    <row r="63" spans="1:3">
      <c r="A63" t="s">
        <v>375</v>
      </c>
      <c r="B63" t="s">
        <v>82</v>
      </c>
      <c r="C63" t="s">
        <v>376</v>
      </c>
    </row>
    <row r="64" spans="1:3">
      <c r="A64" t="s">
        <v>377</v>
      </c>
      <c r="B64" t="s">
        <v>83</v>
      </c>
      <c r="C64" t="s">
        <v>378</v>
      </c>
    </row>
    <row r="65" spans="1:3">
      <c r="A65" t="s">
        <v>379</v>
      </c>
      <c r="B65" t="s">
        <v>84</v>
      </c>
      <c r="C65" t="s">
        <v>380</v>
      </c>
    </row>
    <row r="66" spans="1:3">
      <c r="A66" t="s">
        <v>381</v>
      </c>
      <c r="B66" t="s">
        <v>85</v>
      </c>
      <c r="C66" t="s">
        <v>382</v>
      </c>
    </row>
    <row r="67" spans="1:3">
      <c r="A67" t="s">
        <v>383</v>
      </c>
      <c r="B67" t="s">
        <v>86</v>
      </c>
      <c r="C67" t="s">
        <v>384</v>
      </c>
    </row>
    <row r="68" spans="1:3">
      <c r="A68" t="s">
        <v>385</v>
      </c>
      <c r="B68" t="s">
        <v>87</v>
      </c>
      <c r="C68" t="s">
        <v>386</v>
      </c>
    </row>
    <row r="69" spans="1:3">
      <c r="A69" t="s">
        <v>387</v>
      </c>
      <c r="B69" t="s">
        <v>88</v>
      </c>
      <c r="C69" t="s">
        <v>388</v>
      </c>
    </row>
    <row r="70" spans="1:3">
      <c r="A70" t="s">
        <v>389</v>
      </c>
      <c r="B70" t="s">
        <v>89</v>
      </c>
      <c r="C70" t="s">
        <v>390</v>
      </c>
    </row>
    <row r="71" spans="1:3">
      <c r="A71" t="s">
        <v>391</v>
      </c>
      <c r="B71" t="s">
        <v>173</v>
      </c>
      <c r="C71" t="s">
        <v>392</v>
      </c>
    </row>
    <row r="72" spans="1:3">
      <c r="A72" t="s">
        <v>393</v>
      </c>
      <c r="B72" t="s">
        <v>104</v>
      </c>
      <c r="C72" t="s">
        <v>392</v>
      </c>
    </row>
    <row r="73" spans="1:3">
      <c r="A73" t="s">
        <v>394</v>
      </c>
      <c r="B73" t="s">
        <v>105</v>
      </c>
      <c r="C73" t="s">
        <v>392</v>
      </c>
    </row>
    <row r="74" spans="1:3">
      <c r="A74" t="s">
        <v>395</v>
      </c>
      <c r="B74" t="s">
        <v>103</v>
      </c>
      <c r="C74" t="s">
        <v>392</v>
      </c>
    </row>
    <row r="75" spans="1:3">
      <c r="A75" t="s">
        <v>396</v>
      </c>
      <c r="B75" t="s">
        <v>174</v>
      </c>
      <c r="C75" t="s">
        <v>397</v>
      </c>
    </row>
    <row r="76" spans="1:3">
      <c r="A76" t="s">
        <v>398</v>
      </c>
      <c r="B76" t="s">
        <v>175</v>
      </c>
      <c r="C76" t="s">
        <v>397</v>
      </c>
    </row>
    <row r="77" spans="1:3">
      <c r="A77" t="s">
        <v>399</v>
      </c>
      <c r="B77" t="s">
        <v>176</v>
      </c>
      <c r="C77" t="s">
        <v>400</v>
      </c>
    </row>
    <row r="78" spans="1:3">
      <c r="A78" t="s">
        <v>401</v>
      </c>
      <c r="B78" t="s">
        <v>108</v>
      </c>
      <c r="C78" t="s">
        <v>402</v>
      </c>
    </row>
    <row r="79" spans="1:3">
      <c r="A79" t="s">
        <v>403</v>
      </c>
      <c r="B79" t="s">
        <v>177</v>
      </c>
      <c r="C79" t="s">
        <v>404</v>
      </c>
    </row>
    <row r="80" spans="1:3">
      <c r="A80" t="s">
        <v>405</v>
      </c>
      <c r="B80" t="s">
        <v>109</v>
      </c>
      <c r="C80" t="s">
        <v>406</v>
      </c>
    </row>
    <row r="81" spans="1:3">
      <c r="A81" t="s">
        <v>407</v>
      </c>
      <c r="B81" t="s">
        <v>408</v>
      </c>
      <c r="C81" t="s">
        <v>409</v>
      </c>
    </row>
    <row r="82" spans="1:3">
      <c r="A82" t="s">
        <v>410</v>
      </c>
      <c r="B82" t="s">
        <v>411</v>
      </c>
      <c r="C82" t="s">
        <v>412</v>
      </c>
    </row>
    <row r="83" spans="1:3">
      <c r="A83" t="s">
        <v>413</v>
      </c>
      <c r="B83" t="s">
        <v>178</v>
      </c>
      <c r="C83" t="s">
        <v>414</v>
      </c>
    </row>
    <row r="84" spans="1:3">
      <c r="A84" t="s">
        <v>415</v>
      </c>
      <c r="B84" t="s">
        <v>179</v>
      </c>
      <c r="C84" t="s">
        <v>416</v>
      </c>
    </row>
    <row r="85" spans="1:3">
      <c r="A85" t="s">
        <v>417</v>
      </c>
      <c r="B85" t="s">
        <v>18</v>
      </c>
      <c r="C85" t="s">
        <v>418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标签</vt:lpstr>
      <vt:lpstr>采集参数</vt:lpstr>
      <vt:lpstr>实验条件</vt:lpstr>
      <vt:lpstr>监督配对</vt:lpstr>
      <vt:lpstr>文件索引</vt:lpstr>
      <vt:lpstr>汇总</vt:lpstr>
      <vt:lpstr>字段说明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语音增强采集标签</dc:title>
  <dc:subject>声学采集工具自动生成的数据集索引</dc:subject>
  <dc:creator>声学采集工具</dc:creator>
  <dc:description>人工标签、是否有效和备注列可在 Excel 中继续编辑。</dc:description>
  <cp:lastModifiedBy>声学采集工具</cp:lastModifiedBy>
  <dcterms:created xsi:type="dcterms:W3CDTF">2026-08-12T14:43:13Z</dcterms:created>
  <dcterms:modified xsi:type="dcterms:W3CDTF">2026-08-12T14:43:13Z</dcterms:modified>
</cp:coreProperties>
</file>